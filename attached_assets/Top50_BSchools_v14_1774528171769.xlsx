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. School Overview" sheetId="2" state="visible" r:id="rId2"/>
    <sheet xmlns:r="http://schemas.openxmlformats.org/officeDocument/2006/relationships" name="2. Departments by School" sheetId="3" state="visible" r:id="rId3"/>
    <sheet xmlns:r="http://schemas.openxmlformats.org/officeDocument/2006/relationships" name="3. Faculty by Sub-Area" sheetId="4" state="visible" r:id="rId4"/>
    <sheet xmlns:r="http://schemas.openxmlformats.org/officeDocument/2006/relationships" name="4. Subject Area Analysis" sheetId="5" state="visible" r:id="rId5"/>
    <sheet xmlns:r="http://schemas.openxmlformats.org/officeDocument/2006/relationships" name="5. Journals Reference" sheetId="6" state="visible" r:id="rId6"/>
    <sheet xmlns:r="http://schemas.openxmlformats.org/officeDocument/2006/relationships" name="6. Department Analysis" sheetId="7" state="visible" r:id="rId7"/>
    <sheet xmlns:r="http://schemas.openxmlformats.org/officeDocument/2006/relationships" name="7. OM-IS-Analytics Mapping" sheetId="8" state="visible" r:id="rId8"/>
    <sheet xmlns:r="http://schemas.openxmlformats.org/officeDocument/2006/relationships" name="_Lookup" sheetId="9" state="hidden" r:id="rId9"/>
    <sheet xmlns:r="http://schemas.openxmlformats.org/officeDocument/2006/relationships" name="_DeptLookup" sheetId="10" state="hidden" r:id="rId10"/>
    <sheet xmlns:r="http://schemas.openxmlformats.org/officeDocument/2006/relationships" name="8. Verification Summary" sheetId="11" state="visible" r:id="rId11"/>
    <sheet xmlns:r="http://schemas.openxmlformats.org/officeDocument/2006/relationships" name="9. Key Findings" sheetId="12" state="visible" r:id="rId12"/>
    <sheet xmlns:r="http://schemas.openxmlformats.org/officeDocument/2006/relationships" name="Changelog (v12→v13)" sheetId="13" state="visible" r:id="rId13"/>
    <sheet xmlns:r="http://schemas.openxmlformats.org/officeDocument/2006/relationships" name="Changelog (v13→v14)" sheetId="14" state="visible" r:id="rId14"/>
  </sheets>
  <definedNames>
    <definedName name="_xlnm._FilterDatabase" localSheetId="1" hidden="1">'1. School Overview'!$A$3:$I$53</definedName>
    <definedName name="_xlnm._FilterDatabase" localSheetId="2" hidden="1">'2. Departments by School'!$A$3:$H$339</definedName>
    <definedName name="_xlnm._FilterDatabase" localSheetId="3" hidden="1">'3. Faculty by Sub-Area'!$A$3:$F$1337</definedName>
    <definedName name="_xlnm._FilterDatabase" localSheetId="7" hidden="1">'7. OM-IS-Analytics Mapping'!$A$1:$M$51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\+0;\-0;0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1F3864"/>
      <sz val="13"/>
    </font>
    <font>
      <name val="Calibri"/>
      <charset val="1"/>
      <family val="0"/>
      <b val="1"/>
      <color rgb="FF666666"/>
      <sz val="11"/>
    </font>
    <font>
      <name val="Calibri"/>
      <charset val="1"/>
      <family val="0"/>
      <color rgb="FF333333"/>
      <sz val="12"/>
    </font>
    <font>
      <name val="Calibri"/>
      <charset val="1"/>
      <family val="0"/>
      <b val="1"/>
      <color rgb="FF2F5496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333333"/>
      <sz val="11"/>
    </font>
    <font>
      <name val="Arial"/>
      <charset val="1"/>
      <family val="0"/>
      <b val="1"/>
      <color rgb="FF2F5496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Calibri"/>
      <charset val="1"/>
      <family val="0"/>
      <b val="1"/>
      <sz val="16"/>
    </font>
    <font>
      <name val="Calibri"/>
      <charset val="1"/>
      <family val="0"/>
      <i val="1"/>
      <color rgb="FF666666"/>
      <sz val="11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03366"/>
      <sz val="14"/>
    </font>
    <font>
      <name val="Arial"/>
      <charset val="1"/>
      <family val="0"/>
      <b val="1"/>
      <color rgb="FF003366"/>
      <sz val="12"/>
    </font>
    <font>
      <name val="Arial"/>
      <charset val="1"/>
      <family val="0"/>
      <i val="1"/>
      <color rgb="FF4472C4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color rgb="FF006100"/>
      <sz val="10"/>
    </font>
    <font>
      <name val="Calibri"/>
      <charset val="1"/>
      <family val="0"/>
      <color rgb="FF9C0006"/>
      <sz val="10"/>
    </font>
  </fonts>
  <fills count="15">
    <fill>
      <patternFill/>
    </fill>
    <fill>
      <patternFill patternType="gray125"/>
    </fill>
    <fill>
      <patternFill patternType="solid">
        <fgColor rgb="FFD6E4F0"/>
        <bgColor rgb="FFD9E1F2"/>
      </patternFill>
    </fill>
    <fill>
      <patternFill patternType="solid">
        <fgColor rgb="FFFFFFFF"/>
        <bgColor rgb="FFF2F6FC"/>
      </patternFill>
    </fill>
    <fill>
      <patternFill patternType="solid">
        <fgColor rgb="FF2F5496"/>
        <bgColor rgb="FF1F3864"/>
      </patternFill>
    </fill>
    <fill>
      <patternFill patternType="solid">
        <fgColor rgb="FFF2F6FC"/>
        <bgColor rgb="FFF0F4FA"/>
      </patternFill>
    </fill>
    <fill>
      <patternFill patternType="solid">
        <fgColor rgb="FF1F3864"/>
        <bgColor rgb="FF003366"/>
      </patternFill>
    </fill>
    <fill>
      <patternFill patternType="solid">
        <fgColor rgb="FFF2F2F2"/>
        <bgColor rgb="FFF0F4FA"/>
      </patternFill>
    </fill>
    <fill>
      <patternFill patternType="solid">
        <fgColor rgb="FFD9E1F2"/>
        <bgColor rgb="FFD6E4F0"/>
      </patternFill>
    </fill>
    <fill>
      <patternFill patternType="solid">
        <fgColor rgb="FF003366"/>
        <bgColor rgb="FF1F3864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E8F5E9"/>
      </patternFill>
    </fill>
    <fill>
      <patternFill patternType="solid">
        <fgColor rgb="FF2563EB"/>
        <bgColor rgb="FF4472C4"/>
      </patternFill>
    </fill>
    <fill>
      <patternFill patternType="solid">
        <fgColor rgb="FFF0F4FA"/>
        <bgColor rgb="FFF2F6FC"/>
      </patternFill>
    </fill>
    <fill>
      <patternFill patternType="solid">
        <fgColor rgb="FFE8F5E9"/>
        <bgColor rgb="FFF2F2F2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2F5496"/>
      </bottom>
      <diagonal/>
    </border>
    <border>
      <left style="medium">
        <color rgb="FF2F5496"/>
      </left>
      <right/>
      <top style="medium">
        <color rgb="FF2F5496"/>
      </top>
      <bottom style="medium">
        <color rgb="FF2F5496"/>
      </bottom>
      <diagonal/>
    </border>
    <border>
      <left/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/>
      <right/>
      <top style="medium">
        <color rgb="FF2F5496"/>
      </top>
      <bottom style="thin">
        <color rgb="FFB4C6E7"/>
      </bottom>
      <diagonal/>
    </border>
    <border>
      <left/>
      <right style="medium">
        <color rgb="FF2F5496"/>
      </right>
      <top style="medium">
        <color rgb="FF2F5496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medium">
        <color rgb="FF2F5496"/>
      </right>
      <top style="thin">
        <color rgb="FFB4C6E7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/>
      <right/>
      <top style="thin">
        <color rgb="FFB4C6E7"/>
      </top>
      <bottom style="medium">
        <color rgb="FF2F5496"/>
      </bottom>
      <diagonal/>
    </border>
    <border>
      <left/>
      <right style="medium">
        <color rgb="FF2F5496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/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/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/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/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/>
      <right style="thin"/>
      <top style="thin"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/>
      <right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2F5496"/>
      </top>
      <bottom/>
      <diagonal/>
    </border>
    <border>
      <left/>
      <right style="medium">
        <color rgb="FF2F5496"/>
      </right>
      <top style="medium">
        <color rgb="FF2F5496"/>
      </top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6" fillId="3" borderId="3" applyAlignment="1" pivotButton="0" quotePrefix="0" xfId="0">
      <alignment horizontal="general" vertical="center"/>
    </xf>
    <xf numFmtId="0" fontId="7" fillId="3" borderId="4" applyAlignment="1" pivotButton="0" quotePrefix="0" xfId="0">
      <alignment horizontal="general" vertical="center"/>
    </xf>
    <xf numFmtId="0" fontId="8" fillId="3" borderId="5" applyAlignment="1" pivotButton="0" quotePrefix="0" xfId="0">
      <alignment horizontal="general" vertical="center"/>
    </xf>
    <xf numFmtId="0" fontId="0" fillId="3" borderId="6" applyAlignment="1" pivotButton="0" quotePrefix="0" xfId="0">
      <alignment horizontal="general" vertical="bottom"/>
    </xf>
    <xf numFmtId="0" fontId="7" fillId="3" borderId="7" applyAlignment="1" pivotButton="0" quotePrefix="0" xfId="0">
      <alignment horizontal="general" vertical="center"/>
    </xf>
    <xf numFmtId="0" fontId="8" fillId="3" borderId="8" applyAlignment="1" pivotButton="0" quotePrefix="0" xfId="0">
      <alignment horizontal="general" vertical="center"/>
    </xf>
    <xf numFmtId="0" fontId="0" fillId="3" borderId="9" applyAlignment="1" pivotButton="0" quotePrefix="0" xfId="0">
      <alignment horizontal="general" vertical="bottom"/>
    </xf>
    <xf numFmtId="0" fontId="9" fillId="3" borderId="8" applyAlignment="1" pivotButton="0" quotePrefix="0" xfId="0">
      <alignment horizontal="general" vertical="center"/>
    </xf>
    <xf numFmtId="0" fontId="7" fillId="3" borderId="10" applyAlignment="1" pivotButton="0" quotePrefix="0" xfId="0">
      <alignment horizontal="general" vertical="center"/>
    </xf>
    <xf numFmtId="0" fontId="9" fillId="3" borderId="11" applyAlignment="1" pivotButton="0" quotePrefix="0" xfId="0">
      <alignment horizontal="general" vertical="center"/>
    </xf>
    <xf numFmtId="0" fontId="0" fillId="3" borderId="12" applyAlignment="1" pivotButton="0" quotePrefix="0" xfId="0">
      <alignment horizontal="general" vertical="bottom"/>
    </xf>
    <xf numFmtId="0" fontId="10" fillId="4" borderId="13" applyAlignment="1" pivotButton="0" quotePrefix="0" xfId="0">
      <alignment horizontal="center" vertical="center"/>
    </xf>
    <xf numFmtId="0" fontId="10" fillId="4" borderId="13" applyAlignment="1" pivotButton="0" quotePrefix="0" xfId="0">
      <alignment horizontal="left" vertical="center"/>
    </xf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general" vertical="center"/>
    </xf>
    <xf numFmtId="0" fontId="11" fillId="0" borderId="16" applyAlignment="1" pivotButton="0" quotePrefix="0" xfId="0">
      <alignment horizontal="center" vertical="center"/>
    </xf>
    <xf numFmtId="0" fontId="11" fillId="5" borderId="14" applyAlignment="1" pivotButton="0" quotePrefix="0" xfId="0">
      <alignment horizontal="center" vertical="center"/>
    </xf>
    <xf numFmtId="0" fontId="11" fillId="5" borderId="15" applyAlignment="1" pivotButton="0" quotePrefix="0" xfId="0">
      <alignment horizontal="general" vertical="center"/>
    </xf>
    <xf numFmtId="0" fontId="11" fillId="5" borderId="16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0" borderId="18" applyAlignment="1" pivotButton="0" quotePrefix="0" xfId="0">
      <alignment horizontal="general" vertical="center"/>
    </xf>
    <xf numFmtId="0" fontId="11" fillId="0" borderId="19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top" wrapText="1"/>
    </xf>
    <xf numFmtId="0" fontId="14" fillId="4" borderId="20" applyAlignment="1" pivotButton="0" quotePrefix="0" xfId="0">
      <alignment horizontal="center" vertical="center" wrapText="1"/>
    </xf>
    <xf numFmtId="0" fontId="15" fillId="5" borderId="20" applyAlignment="1" pivotButton="0" quotePrefix="0" xfId="0">
      <alignment horizontal="center" vertical="center"/>
    </xf>
    <xf numFmtId="0" fontId="15" fillId="5" borderId="20" applyAlignment="1" pivotButton="0" quotePrefix="0" xfId="0">
      <alignment horizontal="left" vertical="top"/>
    </xf>
    <xf numFmtId="0" fontId="15" fillId="0" borderId="20" applyAlignment="1" pivotButton="0" quotePrefix="0" xfId="0">
      <alignment horizontal="center" vertical="center"/>
    </xf>
    <xf numFmtId="0" fontId="15" fillId="0" borderId="20" applyAlignment="1" pivotButton="0" quotePrefix="0" xfId="0">
      <alignment horizontal="left" vertical="top"/>
    </xf>
    <xf numFmtId="0" fontId="16" fillId="8" borderId="20" applyAlignment="1" pivotButton="0" quotePrefix="0" xfId="0">
      <alignment horizontal="general" vertical="bottom"/>
    </xf>
    <xf numFmtId="0" fontId="12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horizontal="general" vertical="bottom"/>
    </xf>
    <xf numFmtId="0" fontId="15" fillId="2" borderId="22" applyAlignment="1" pivotButton="0" quotePrefix="0" xfId="0">
      <alignment horizontal="general" vertical="top" wrapText="1"/>
    </xf>
    <xf numFmtId="0" fontId="15" fillId="3" borderId="22" applyAlignment="1" pivotButton="0" quotePrefix="0" xfId="0">
      <alignment horizontal="general" vertical="top" wrapText="1"/>
    </xf>
    <xf numFmtId="0" fontId="15" fillId="3" borderId="20" applyAlignment="1" pivotButton="0" quotePrefix="0" xfId="0">
      <alignment horizontal="center" vertical="center"/>
    </xf>
    <xf numFmtId="0" fontId="15" fillId="3" borderId="20" applyAlignment="1" pivotButton="0" quotePrefix="0" xfId="0">
      <alignment horizontal="left" vertical="top"/>
    </xf>
    <xf numFmtId="0" fontId="15" fillId="3" borderId="20" applyAlignment="1" pivotButton="0" quotePrefix="0" xfId="0">
      <alignment horizontal="left" vertical="top" wrapText="1"/>
    </xf>
    <xf numFmtId="0" fontId="17" fillId="3" borderId="20" applyAlignment="1" pivotButton="0" quotePrefix="0" xfId="0">
      <alignment horizontal="center" vertical="center"/>
    </xf>
    <xf numFmtId="0" fontId="16" fillId="3" borderId="20" applyAlignment="1" pivotButton="0" quotePrefix="0" xfId="0">
      <alignment horizontal="center" vertical="center"/>
    </xf>
    <xf numFmtId="0" fontId="16" fillId="3" borderId="20" applyAlignment="1" pivotButton="0" quotePrefix="0" xfId="0">
      <alignment horizontal="left" vertical="top"/>
    </xf>
    <xf numFmtId="0" fontId="16" fillId="3" borderId="20" applyAlignment="1" pivotButton="0" quotePrefix="0" xfId="0">
      <alignment horizontal="left" vertical="top" wrapText="1"/>
    </xf>
    <xf numFmtId="0" fontId="16" fillId="3" borderId="2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center" vertical="bottom"/>
    </xf>
    <xf numFmtId="0" fontId="21" fillId="5" borderId="0" applyAlignment="1" pivotButton="0" quotePrefix="0" xfId="0">
      <alignment horizontal="center" vertical="bottom"/>
    </xf>
    <xf numFmtId="0" fontId="21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center" vertical="center" wrapText="1"/>
    </xf>
    <xf numFmtId="0" fontId="15" fillId="5" borderId="20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14" fillId="9" borderId="21" applyAlignment="1" pivotButton="0" quotePrefix="0" xfId="0">
      <alignment horizontal="center" vertical="bottom" wrapText="1"/>
    </xf>
    <xf numFmtId="0" fontId="15" fillId="10" borderId="21" applyAlignment="1" pivotButton="0" quotePrefix="0" xfId="0">
      <alignment horizontal="general" vertical="bottom"/>
    </xf>
    <xf numFmtId="3" fontId="15" fillId="10" borderId="21" applyAlignment="1" pivotButton="0" quotePrefix="0" xfId="0">
      <alignment horizontal="general" vertical="bottom"/>
    </xf>
    <xf numFmtId="164" fontId="15" fillId="10" borderId="21" applyAlignment="1" pivotButton="0" quotePrefix="0" xfId="0">
      <alignment horizontal="general" vertical="bottom"/>
    </xf>
    <xf numFmtId="0" fontId="25" fillId="2" borderId="0" applyAlignment="1" pivotButton="0" quotePrefix="0" xfId="0">
      <alignment horizontal="general" vertical="bottom"/>
    </xf>
    <xf numFmtId="9" fontId="25" fillId="2" borderId="0" applyAlignment="1" pivotButton="0" quotePrefix="0" xfId="0">
      <alignment horizontal="general" vertical="bottom"/>
    </xf>
    <xf numFmtId="0" fontId="15" fillId="11" borderId="21" applyAlignment="1" pivotButton="0" quotePrefix="0" xfId="0">
      <alignment horizontal="general" vertical="bottom"/>
    </xf>
    <xf numFmtId="3" fontId="15" fillId="11" borderId="21" applyAlignment="1" pivotButton="0" quotePrefix="0" xfId="0">
      <alignment horizontal="general" vertical="bottom"/>
    </xf>
    <xf numFmtId="164" fontId="15" fillId="11" borderId="21" applyAlignment="1" pivotButton="0" quotePrefix="0" xfId="0">
      <alignment horizontal="general" vertical="bottom"/>
    </xf>
    <xf numFmtId="3" fontId="15" fillId="0" borderId="21" applyAlignment="1" pivotButton="0" quotePrefix="0" xfId="0">
      <alignment horizontal="general" vertical="bottom"/>
    </xf>
    <xf numFmtId="164" fontId="15" fillId="0" borderId="21" applyAlignment="1" pivotButton="0" quotePrefix="0" xfId="0">
      <alignment horizontal="general" vertical="bottom"/>
    </xf>
    <xf numFmtId="0" fontId="15" fillId="0" borderId="23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12" borderId="24" applyAlignment="1" pivotButton="0" quotePrefix="0" xfId="0">
      <alignment horizontal="center" vertical="center" wrapText="1"/>
    </xf>
    <xf numFmtId="0" fontId="15" fillId="13" borderId="24" applyAlignment="1" pivotButton="0" quotePrefix="0" xfId="0">
      <alignment horizontal="general" vertical="top" wrapText="1"/>
    </xf>
    <xf numFmtId="0" fontId="15" fillId="14" borderId="24" applyAlignment="1" pivotButton="0" quotePrefix="0" xfId="0">
      <alignment horizontal="general" vertical="top" wrapText="1"/>
    </xf>
    <xf numFmtId="0" fontId="15" fillId="0" borderId="24" applyAlignment="1" pivotButton="0" quotePrefix="0" xfId="0">
      <alignment horizontal="general" vertical="top" wrapText="1"/>
    </xf>
    <xf numFmtId="0" fontId="26" fillId="4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center" vertical="bottom"/>
    </xf>
    <xf numFmtId="165" fontId="27" fillId="5" borderId="0" applyAlignment="1" pivotButton="0" quotePrefix="0" xfId="0">
      <alignment horizontal="center" vertical="bottom"/>
    </xf>
    <xf numFmtId="165" fontId="28" fillId="0" borderId="0" applyAlignment="1" pivotButton="0" quotePrefix="0" xfId="0">
      <alignment horizontal="center" vertical="bottom"/>
    </xf>
    <xf numFmtId="165" fontId="28" fillId="5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27" fillId="5" borderId="0" applyAlignment="1" pivotButton="0" quotePrefix="0" xfId="0">
      <alignment horizontal="center" vertical="bottom"/>
    </xf>
    <xf numFmtId="0" fontId="28" fillId="5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0" fillId="0" borderId="1" pivotButton="0" quotePrefix="0" xfId="0"/>
    <xf numFmtId="0" fontId="5" fillId="2" borderId="2" applyAlignment="1" pivotButton="0" quotePrefix="0" xfId="0">
      <alignment horizontal="general" vertical="center"/>
    </xf>
    <xf numFmtId="0" fontId="6" fillId="3" borderId="3" applyAlignment="1" pivotButton="0" quotePrefix="0" xfId="0">
      <alignment horizontal="general" vertical="center"/>
    </xf>
    <xf numFmtId="0" fontId="0" fillId="0" borderId="3" pivotButton="0" quotePrefix="0" xfId="0"/>
    <xf numFmtId="0" fontId="7" fillId="3" borderId="4" applyAlignment="1" pivotButton="0" quotePrefix="0" xfId="0">
      <alignment horizontal="general" vertical="center"/>
    </xf>
    <xf numFmtId="0" fontId="8" fillId="3" borderId="5" applyAlignment="1" pivotButton="0" quotePrefix="0" xfId="0">
      <alignment horizontal="general" vertical="center"/>
    </xf>
    <xf numFmtId="0" fontId="0" fillId="3" borderId="6" applyAlignment="1" pivotButton="0" quotePrefix="0" xfId="0">
      <alignment horizontal="general" vertical="bottom"/>
    </xf>
    <xf numFmtId="0" fontId="7" fillId="3" borderId="7" applyAlignment="1" pivotButton="0" quotePrefix="0" xfId="0">
      <alignment horizontal="general" vertical="center"/>
    </xf>
    <xf numFmtId="0" fontId="8" fillId="3" borderId="8" applyAlignment="1" pivotButton="0" quotePrefix="0" xfId="0">
      <alignment horizontal="general" vertical="center"/>
    </xf>
    <xf numFmtId="0" fontId="0" fillId="3" borderId="9" applyAlignment="1" pivotButton="0" quotePrefix="0" xfId="0">
      <alignment horizontal="general" vertical="bottom"/>
    </xf>
    <xf numFmtId="0" fontId="9" fillId="3" borderId="8" applyAlignment="1" pivotButton="0" quotePrefix="0" xfId="0">
      <alignment horizontal="general" vertical="center"/>
    </xf>
    <xf numFmtId="0" fontId="7" fillId="3" borderId="10" applyAlignment="1" pivotButton="0" quotePrefix="0" xfId="0">
      <alignment horizontal="general" vertical="center"/>
    </xf>
    <xf numFmtId="0" fontId="9" fillId="3" borderId="11" applyAlignment="1" pivotButton="0" quotePrefix="0" xfId="0">
      <alignment horizontal="general" vertical="center"/>
    </xf>
    <xf numFmtId="0" fontId="0" fillId="3" borderId="12" applyAlignment="1" pivotButton="0" quotePrefix="0" xfId="0">
      <alignment horizontal="general" vertical="bottom"/>
    </xf>
    <xf numFmtId="0" fontId="10" fillId="4" borderId="13" applyAlignment="1" pivotButton="0" quotePrefix="0" xfId="0">
      <alignment horizontal="center" vertical="center"/>
    </xf>
    <xf numFmtId="0" fontId="10" fillId="4" borderId="13" applyAlignment="1" pivotButton="0" quotePrefix="0" xfId="0">
      <alignment horizontal="left" vertical="center"/>
    </xf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general" vertical="center"/>
    </xf>
    <xf numFmtId="0" fontId="11" fillId="0" borderId="16" applyAlignment="1" pivotButton="0" quotePrefix="0" xfId="0">
      <alignment horizontal="center" vertical="center"/>
    </xf>
    <xf numFmtId="0" fontId="11" fillId="5" borderId="14" applyAlignment="1" pivotButton="0" quotePrefix="0" xfId="0">
      <alignment horizontal="center" vertical="center"/>
    </xf>
    <xf numFmtId="0" fontId="11" fillId="5" borderId="15" applyAlignment="1" pivotButton="0" quotePrefix="0" xfId="0">
      <alignment horizontal="general" vertical="center"/>
    </xf>
    <xf numFmtId="0" fontId="11" fillId="5" borderId="16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0" borderId="18" applyAlignment="1" pivotButton="0" quotePrefix="0" xfId="0">
      <alignment horizontal="general" vertical="center"/>
    </xf>
    <xf numFmtId="0" fontId="11" fillId="0" borderId="19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top" wrapText="1"/>
    </xf>
    <xf numFmtId="0" fontId="14" fillId="4" borderId="20" applyAlignment="1" pivotButton="0" quotePrefix="0" xfId="0">
      <alignment horizontal="center" vertical="center" wrapText="1"/>
    </xf>
    <xf numFmtId="0" fontId="15" fillId="5" borderId="20" applyAlignment="1" pivotButton="0" quotePrefix="0" xfId="0">
      <alignment horizontal="center" vertical="center"/>
    </xf>
    <xf numFmtId="0" fontId="15" fillId="5" borderId="20" applyAlignment="1" pivotButton="0" quotePrefix="0" xfId="0">
      <alignment horizontal="left" vertical="top"/>
    </xf>
    <xf numFmtId="0" fontId="15" fillId="0" borderId="20" applyAlignment="1" pivotButton="0" quotePrefix="0" xfId="0">
      <alignment horizontal="center" vertical="center"/>
    </xf>
    <xf numFmtId="0" fontId="15" fillId="0" borderId="20" applyAlignment="1" pivotButton="0" quotePrefix="0" xfId="0">
      <alignment horizontal="left" vertical="top"/>
    </xf>
    <xf numFmtId="0" fontId="16" fillId="8" borderId="20" applyAlignment="1" pivotButton="0" quotePrefix="0" xfId="0">
      <alignment horizontal="general" vertical="bottom"/>
    </xf>
    <xf numFmtId="0" fontId="15" fillId="0" borderId="21" applyAlignment="1" pivotButton="0" quotePrefix="0" xfId="0">
      <alignment horizontal="general" vertical="bottom"/>
    </xf>
    <xf numFmtId="0" fontId="15" fillId="2" borderId="22" applyAlignment="1" pivotButton="0" quotePrefix="0" xfId="0">
      <alignment horizontal="general" vertical="top" wrapText="1"/>
    </xf>
    <xf numFmtId="0" fontId="15" fillId="3" borderId="22" applyAlignment="1" pivotButton="0" quotePrefix="0" xfId="0">
      <alignment horizontal="general" vertical="top" wrapText="1"/>
    </xf>
    <xf numFmtId="0" fontId="15" fillId="3" borderId="20" applyAlignment="1" pivotButton="0" quotePrefix="0" xfId="0">
      <alignment horizontal="center" vertical="center"/>
    </xf>
    <xf numFmtId="0" fontId="15" fillId="3" borderId="20" applyAlignment="1" pivotButton="0" quotePrefix="0" xfId="0">
      <alignment horizontal="left" vertical="top"/>
    </xf>
    <xf numFmtId="0" fontId="15" fillId="3" borderId="20" applyAlignment="1" pivotButton="0" quotePrefix="0" xfId="0">
      <alignment horizontal="left" vertical="top" wrapText="1"/>
    </xf>
    <xf numFmtId="0" fontId="17" fillId="3" borderId="20" applyAlignment="1" pivotButton="0" quotePrefix="0" xfId="0">
      <alignment horizontal="center" vertical="center"/>
    </xf>
    <xf numFmtId="0" fontId="16" fillId="3" borderId="20" applyAlignment="1" pivotButton="0" quotePrefix="0" xfId="0">
      <alignment horizontal="center" vertical="center"/>
    </xf>
    <xf numFmtId="0" fontId="16" fillId="3" borderId="20" applyAlignment="1" pivotButton="0" quotePrefix="0" xfId="0">
      <alignment horizontal="left" vertical="top"/>
    </xf>
    <xf numFmtId="0" fontId="16" fillId="3" borderId="20" applyAlignment="1" pivotButton="0" quotePrefix="0" xfId="0">
      <alignment horizontal="left" vertical="top" wrapText="1"/>
    </xf>
    <xf numFmtId="0" fontId="16" fillId="3" borderId="2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center" vertical="bottom"/>
    </xf>
    <xf numFmtId="0" fontId="21" fillId="5" borderId="0" applyAlignment="1" pivotButton="0" quotePrefix="0" xfId="0">
      <alignment horizontal="center" vertical="bottom"/>
    </xf>
    <xf numFmtId="0" fontId="21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center" vertical="center" wrapText="1"/>
    </xf>
    <xf numFmtId="0" fontId="15" fillId="5" borderId="20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14" fillId="9" borderId="21" applyAlignment="1" pivotButton="0" quotePrefix="0" xfId="0">
      <alignment horizontal="center" vertical="bottom" wrapText="1"/>
    </xf>
    <xf numFmtId="0" fontId="15" fillId="10" borderId="21" applyAlignment="1" pivotButton="0" quotePrefix="0" xfId="0">
      <alignment horizontal="general" vertical="bottom"/>
    </xf>
    <xf numFmtId="3" fontId="15" fillId="10" borderId="21" applyAlignment="1" pivotButton="0" quotePrefix="0" xfId="0">
      <alignment horizontal="general" vertical="bottom"/>
    </xf>
    <xf numFmtId="164" fontId="15" fillId="10" borderId="21" applyAlignment="1" pivotButton="0" quotePrefix="0" xfId="0">
      <alignment horizontal="general" vertical="bottom"/>
    </xf>
    <xf numFmtId="0" fontId="25" fillId="2" borderId="0" applyAlignment="1" pivotButton="0" quotePrefix="0" xfId="0">
      <alignment horizontal="general" vertical="bottom"/>
    </xf>
    <xf numFmtId="9" fontId="25" fillId="2" borderId="0" applyAlignment="1" pivotButton="0" quotePrefix="0" xfId="0">
      <alignment horizontal="general" vertical="bottom"/>
    </xf>
    <xf numFmtId="0" fontId="15" fillId="11" borderId="21" applyAlignment="1" pivotButton="0" quotePrefix="0" xfId="0">
      <alignment horizontal="general" vertical="bottom"/>
    </xf>
    <xf numFmtId="3" fontId="15" fillId="11" borderId="21" applyAlignment="1" pivotButton="0" quotePrefix="0" xfId="0">
      <alignment horizontal="general" vertical="bottom"/>
    </xf>
    <xf numFmtId="164" fontId="15" fillId="11" borderId="21" applyAlignment="1" pivotButton="0" quotePrefix="0" xfId="0">
      <alignment horizontal="general" vertical="bottom"/>
    </xf>
    <xf numFmtId="3" fontId="15" fillId="0" borderId="21" applyAlignment="1" pivotButton="0" quotePrefix="0" xfId="0">
      <alignment horizontal="general" vertical="bottom"/>
    </xf>
    <xf numFmtId="164" fontId="15" fillId="0" borderId="21" applyAlignment="1" pivotButton="0" quotePrefix="0" xfId="0">
      <alignment horizontal="general" vertical="bottom"/>
    </xf>
    <xf numFmtId="0" fontId="15" fillId="0" borderId="23" applyAlignment="1" pivotButton="0" quotePrefix="0" xfId="0">
      <alignment horizontal="general" vertical="bottom"/>
    </xf>
    <xf numFmtId="0" fontId="0" fillId="0" borderId="28" pivotButton="0" quotePrefix="0" xfId="0"/>
    <xf numFmtId="0" fontId="13" fillId="0" borderId="0" applyAlignment="1" pivotButton="0" quotePrefix="0" xfId="0">
      <alignment horizontal="general" vertical="bottom"/>
    </xf>
    <xf numFmtId="0" fontId="14" fillId="12" borderId="24" applyAlignment="1" pivotButton="0" quotePrefix="0" xfId="0">
      <alignment horizontal="center" vertical="center" wrapText="1"/>
    </xf>
    <xf numFmtId="0" fontId="15" fillId="13" borderId="24" applyAlignment="1" pivotButton="0" quotePrefix="0" xfId="0">
      <alignment horizontal="general" vertical="top" wrapText="1"/>
    </xf>
    <xf numFmtId="0" fontId="15" fillId="14" borderId="24" applyAlignment="1" pivotButton="0" quotePrefix="0" xfId="0">
      <alignment horizontal="general" vertical="top" wrapText="1"/>
    </xf>
    <xf numFmtId="0" fontId="15" fillId="0" borderId="24" applyAlignment="1" pivotButton="0" quotePrefix="0" xfId="0">
      <alignment horizontal="general" vertical="top" wrapText="1"/>
    </xf>
    <xf numFmtId="0" fontId="26" fillId="4" borderId="0" applyAlignment="1" pivotButton="0" quotePrefix="0" xfId="0">
      <alignment horizontal="center" vertical="bottom"/>
    </xf>
    <xf numFmtId="165" fontId="27" fillId="0" borderId="0" applyAlignment="1" pivotButton="0" quotePrefix="0" xfId="0">
      <alignment horizontal="center" vertical="bottom"/>
    </xf>
    <xf numFmtId="165" fontId="27" fillId="5" borderId="0" applyAlignment="1" pivotButton="0" quotePrefix="0" xfId="0">
      <alignment horizontal="center" vertical="bottom"/>
    </xf>
    <xf numFmtId="165" fontId="28" fillId="0" borderId="0" applyAlignment="1" pivotButton="0" quotePrefix="0" xfId="0">
      <alignment horizontal="center" vertical="bottom"/>
    </xf>
    <xf numFmtId="165" fontId="28" fillId="5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27" fillId="5" borderId="0" applyAlignment="1" pivotButton="0" quotePrefix="0" xfId="0">
      <alignment horizontal="center" vertical="bottom"/>
    </xf>
    <xf numFmtId="0" fontId="28" fillId="5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F0F4FA"/>
          <bgColor rgb="FF000000"/>
        </patternFill>
      </fill>
    </dxf>
    <dxf>
      <fill>
        <patternFill patternType="solid">
          <fgColor rgb="FFE8F5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4472C4"/>
      <rgbColor rgb="FF9999FF"/>
      <rgbColor rgb="FF993366"/>
      <rgbColor rgb="FFF2F2F2"/>
      <rgbColor rgb="FFE8F5E9"/>
      <rgbColor rgb="FF660066"/>
      <rgbColor rgb="FFFF8080"/>
      <rgbColor rgb="FF2F5496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C6EFCE"/>
      <rgbColor rgb="FFFFEB9C"/>
      <rgbColor rgb="FFD6E4F0"/>
      <rgbColor rgb="FFF2F6FC"/>
      <rgbColor rgb="FFCC99FF"/>
      <rgbColor rgb="FFD9E1F2"/>
      <rgbColor rgb="FF2563EB"/>
      <rgbColor rgb="FF33CCCC"/>
      <rgbColor rgb="FF99CC00"/>
      <rgbColor rgb="FFFFCC00"/>
      <rgbColor rgb="FFFF9900"/>
      <rgbColor rgb="FFFF6600"/>
      <rgbColor rgb="FF666666"/>
      <rgbColor rgb="FFB0B0B0"/>
      <rgbColor rgb="FF003366"/>
      <rgbColor rgb="FF339966"/>
      <rgbColor rgb="FF003300"/>
      <rgbColor rgb="FF333300"/>
      <rgbColor rgb="FF993300"/>
      <rgbColor rgb="FF993366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Faculty by Department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'Dashboard'!$B$12:$B$22</f>
            </numRef>
          </cat>
          <val>
            <numRef>
              <f>'Dashboard'!$C$12:$C$22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4608000" cy="31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B3" activeCellId="0" sqref="B3"/>
    </sheetView>
  </sheetViews>
  <sheetFormatPr baseColWidth="8" defaultColWidth="8.66796875" defaultRowHeight="15" customHeight="1" zeroHeight="0" outlineLevelRow="0"/>
  <cols>
    <col width="18" customWidth="1" style="90" min="1" max="1"/>
    <col width="50" customWidth="1" style="90" min="2" max="2"/>
    <col width="12" customWidth="1" style="90" min="3" max="3"/>
    <col width="3" customWidth="1" style="90" min="4" max="4"/>
    <col width="13" customWidth="1" style="90" min="5" max="11"/>
  </cols>
  <sheetData>
    <row r="1" ht="31.5" customHeight="1" s="91">
      <c r="A1" s="92" t="inlineStr">
        <is>
          <t>SCHOOL DASHBOARD</t>
        </is>
      </c>
      <c r="B1" s="93" t="n"/>
      <c r="C1" s="93" t="n"/>
    </row>
    <row r="2" ht="18.75" customHeight="1" s="91"/>
    <row r="3" ht="27.75" customHeight="1" s="91">
      <c r="A3" s="94" t="inlineStr">
        <is>
          <t>Select School:</t>
        </is>
      </c>
      <c r="B3" s="95" t="inlineStr">
        <is>
          <t>Wharton</t>
        </is>
      </c>
      <c r="C3" s="96" t="n"/>
    </row>
    <row r="4" ht="6" customHeight="1" s="91"/>
    <row r="5" ht="24" customHeight="1" s="91">
      <c r="A5" s="97" t="inlineStr">
        <is>
          <t>Full Name:</t>
        </is>
      </c>
      <c r="B5" s="98">
        <f>VLOOKUP(B3,_Lookup!A:B,2,FALSE())</f>
        <v/>
      </c>
      <c r="C5" s="99" t="n"/>
    </row>
    <row r="6" ht="24" customHeight="1" s="91">
      <c r="A6" s="100" t="inlineStr">
        <is>
          <t>Rank:</t>
        </is>
      </c>
      <c r="B6" s="101">
        <f>VLOOKUP(B3,_Lookup!A:C,3,FALSE())</f>
        <v/>
      </c>
      <c r="C6" s="102" t="n"/>
    </row>
    <row r="7" ht="24" customHeight="1" s="91">
      <c r="A7" s="100" t="inlineStr">
        <is>
          <t>Total Faculty:</t>
        </is>
      </c>
      <c r="B7" s="101">
        <f>VLOOKUP(B3,_Lookup!A:D,4,FALSE())</f>
        <v/>
      </c>
      <c r="C7" s="102" t="n"/>
    </row>
    <row r="8" ht="24" customHeight="1" s="91">
      <c r="A8" s="100" t="inlineStr">
        <is>
          <t>OM &amp; IS Depts:</t>
        </is>
      </c>
      <c r="B8" s="103">
        <f>VLOOKUP(B3,_Lookup!A:E,5,FALSE())</f>
        <v/>
      </c>
      <c r="C8" s="102" t="n"/>
    </row>
    <row r="9" ht="24" customHeight="1" s="91">
      <c r="A9" s="104" t="inlineStr">
        <is>
          <t>Analytics Dept:</t>
        </is>
      </c>
      <c r="B9" s="105">
        <f>VLOOKUP(B3,_Lookup!A:F,6,FALSE())</f>
        <v/>
      </c>
      <c r="C9" s="106" t="n"/>
    </row>
    <row r="10" ht="22.5" customHeight="1" s="91"/>
    <row r="11" ht="25.5" customHeight="1" s="91">
      <c r="A11" s="107" t="inlineStr">
        <is>
          <t>#</t>
        </is>
      </c>
      <c r="B11" s="108" t="inlineStr">
        <is>
          <t>Department</t>
        </is>
      </c>
      <c r="C11" s="107" t="inlineStr">
        <is>
          <t>Faculty</t>
        </is>
      </c>
    </row>
    <row r="12" ht="21.75" customHeight="1" s="91">
      <c r="A12" s="109">
        <f>IFERROR(IF(VLOOKUP($B$3&amp;"|"&amp;1,_DeptLookup!A:C,3,FALSE())&lt;&gt;"",1,""),"")</f>
        <v/>
      </c>
      <c r="B12" s="110">
        <f>IFERROR(VLOOKUP($B$3&amp;"|"&amp;1,_DeptLookup!A:C,3,FALSE()),"")</f>
        <v/>
      </c>
      <c r="C12" s="111">
        <f>IF(IFERROR(VLOOKUP($B$3&amp;"|"&amp;1,_DeptLookup!A:C,3,FALSE()),"")="",NA(),VLOOKUP($B$3&amp;"|"&amp;1,_DeptLookup!A:D,4,FALSE()))</f>
        <v/>
      </c>
    </row>
    <row r="13" ht="21.75" customHeight="1" s="91">
      <c r="A13" s="112">
        <f>IFERROR(IF(VLOOKUP($B$3&amp;"|"&amp;2,_DeptLookup!A:C,3,FALSE())&lt;&gt;"",2,""),"")</f>
        <v/>
      </c>
      <c r="B13" s="113">
        <f>IFERROR(VLOOKUP($B$3&amp;"|"&amp;2,_DeptLookup!A:C,3,FALSE()),"")</f>
        <v/>
      </c>
      <c r="C13" s="114">
        <f>IF(IFERROR(VLOOKUP($B$3&amp;"|"&amp;2,_DeptLookup!A:C,3,FALSE()),"")="",NA(),VLOOKUP($B$3&amp;"|"&amp;2,_DeptLookup!A:D,4,FALSE()))</f>
        <v/>
      </c>
    </row>
    <row r="14" ht="21.75" customHeight="1" s="91">
      <c r="A14" s="109">
        <f>IFERROR(IF(VLOOKUP($B$3&amp;"|"&amp;3,_DeptLookup!A:C,3,FALSE())&lt;&gt;"",3,""),"")</f>
        <v/>
      </c>
      <c r="B14" s="110">
        <f>IFERROR(VLOOKUP($B$3&amp;"|"&amp;3,_DeptLookup!A:C,3,FALSE()),"")</f>
        <v/>
      </c>
      <c r="C14" s="111">
        <f>IF(IFERROR(VLOOKUP($B$3&amp;"|"&amp;3,_DeptLookup!A:C,3,FALSE()),"")="",NA(),VLOOKUP($B$3&amp;"|"&amp;3,_DeptLookup!A:D,4,FALSE()))</f>
        <v/>
      </c>
    </row>
    <row r="15" ht="21.75" customHeight="1" s="91">
      <c r="A15" s="112">
        <f>IFERROR(IF(VLOOKUP($B$3&amp;"|"&amp;4,_DeptLookup!A:C,3,FALSE())&lt;&gt;"",4,""),"")</f>
        <v/>
      </c>
      <c r="B15" s="113">
        <f>IFERROR(VLOOKUP($B$3&amp;"|"&amp;4,_DeptLookup!A:C,3,FALSE()),"")</f>
        <v/>
      </c>
      <c r="C15" s="114">
        <f>IF(IFERROR(VLOOKUP($B$3&amp;"|"&amp;4,_DeptLookup!A:C,3,FALSE()),"")="",NA(),VLOOKUP($B$3&amp;"|"&amp;4,_DeptLookup!A:D,4,FALSE()))</f>
        <v/>
      </c>
    </row>
    <row r="16" ht="21.75" customHeight="1" s="91">
      <c r="A16" s="109">
        <f>IFERROR(IF(VLOOKUP($B$3&amp;"|"&amp;5,_DeptLookup!A:C,3,FALSE())&lt;&gt;"",5,""),"")</f>
        <v/>
      </c>
      <c r="B16" s="110">
        <f>IFERROR(VLOOKUP($B$3&amp;"|"&amp;5,_DeptLookup!A:C,3,FALSE()),"")</f>
        <v/>
      </c>
      <c r="C16" s="111">
        <f>IF(IFERROR(VLOOKUP($B$3&amp;"|"&amp;5,_DeptLookup!A:C,3,FALSE()),"")="",NA(),VLOOKUP($B$3&amp;"|"&amp;5,_DeptLookup!A:D,4,FALSE()))</f>
        <v/>
      </c>
    </row>
    <row r="17" ht="21.75" customHeight="1" s="91">
      <c r="A17" s="112">
        <f>IFERROR(IF(VLOOKUP($B$3&amp;"|"&amp;6,_DeptLookup!A:C,3,FALSE())&lt;&gt;"",6,""),"")</f>
        <v/>
      </c>
      <c r="B17" s="113">
        <f>IFERROR(VLOOKUP($B$3&amp;"|"&amp;6,_DeptLookup!A:C,3,FALSE()),"")</f>
        <v/>
      </c>
      <c r="C17" s="114">
        <f>IF(IFERROR(VLOOKUP($B$3&amp;"|"&amp;6,_DeptLookup!A:C,3,FALSE()),"")="",NA(),VLOOKUP($B$3&amp;"|"&amp;6,_DeptLookup!A:D,4,FALSE()))</f>
        <v/>
      </c>
    </row>
    <row r="18" ht="21.75" customHeight="1" s="91">
      <c r="A18" s="109">
        <f>IFERROR(IF(VLOOKUP($B$3&amp;"|"&amp;7,_DeptLookup!A:C,3,FALSE())&lt;&gt;"",7,""),"")</f>
        <v/>
      </c>
      <c r="B18" s="110">
        <f>IFERROR(VLOOKUP($B$3&amp;"|"&amp;7,_DeptLookup!A:C,3,FALSE()),"")</f>
        <v/>
      </c>
      <c r="C18" s="111">
        <f>IF(IFERROR(VLOOKUP($B$3&amp;"|"&amp;7,_DeptLookup!A:C,3,FALSE()),"")="",NA(),VLOOKUP($B$3&amp;"|"&amp;7,_DeptLookup!A:D,4,FALSE()))</f>
        <v/>
      </c>
    </row>
    <row r="19" ht="21.75" customHeight="1" s="91">
      <c r="A19" s="112">
        <f>IFERROR(IF(VLOOKUP($B$3&amp;"|"&amp;8,_DeptLookup!A:C,3,FALSE())&lt;&gt;"",8,""),"")</f>
        <v/>
      </c>
      <c r="B19" s="113">
        <f>IFERROR(VLOOKUP($B$3&amp;"|"&amp;8,_DeptLookup!A:C,3,FALSE()),"")</f>
        <v/>
      </c>
      <c r="C19" s="114">
        <f>IF(IFERROR(VLOOKUP($B$3&amp;"|"&amp;8,_DeptLookup!A:C,3,FALSE()),"")="",NA(),VLOOKUP($B$3&amp;"|"&amp;8,_DeptLookup!A:D,4,FALSE()))</f>
        <v/>
      </c>
    </row>
    <row r="20" ht="21.75" customHeight="1" s="91">
      <c r="A20" s="109">
        <f>IFERROR(IF(VLOOKUP($B$3&amp;"|"&amp;9,_DeptLookup!A:C,3,FALSE())&lt;&gt;"",9,""),"")</f>
        <v/>
      </c>
      <c r="B20" s="110">
        <f>IFERROR(VLOOKUP($B$3&amp;"|"&amp;9,_DeptLookup!A:C,3,FALSE()),"")</f>
        <v/>
      </c>
      <c r="C20" s="111">
        <f>IF(IFERROR(VLOOKUP($B$3&amp;"|"&amp;9,_DeptLookup!A:C,3,FALSE()),"")="",NA(),VLOOKUP($B$3&amp;"|"&amp;9,_DeptLookup!A:D,4,FALSE()))</f>
        <v/>
      </c>
    </row>
    <row r="21" ht="21.75" customHeight="1" s="91">
      <c r="A21" s="112">
        <f>IFERROR(IF(VLOOKUP($B$3&amp;"|"&amp;10,_DeptLookup!A:C,3,FALSE())&lt;&gt;"",10,""),"")</f>
        <v/>
      </c>
      <c r="B21" s="113">
        <f>IFERROR(VLOOKUP($B$3&amp;"|"&amp;10,_DeptLookup!A:C,3,FALSE()),"")</f>
        <v/>
      </c>
      <c r="C21" s="114">
        <f>IF(IFERROR(VLOOKUP($B$3&amp;"|"&amp;10,_DeptLookup!A:C,3,FALSE()),"")="",NA(),VLOOKUP($B$3&amp;"|"&amp;10,_DeptLookup!A:D,4,FALSE()))</f>
        <v/>
      </c>
    </row>
    <row r="22" ht="21.75" customHeight="1" s="91">
      <c r="A22" s="115">
        <f>IFERROR(IF(VLOOKUP($B$3&amp;"|"&amp;11,_DeptLookup!A:C,3,FALSE())&lt;&gt;"",11,""),"")</f>
        <v/>
      </c>
      <c r="B22" s="116">
        <f>IFERROR(VLOOKUP($B$3&amp;"|"&amp;11,_DeptLookup!A:C,3,FALSE()),"")</f>
        <v/>
      </c>
      <c r="C22" s="117">
        <f>IF(IFERROR(VLOOKUP($B$3&amp;"|"&amp;11,_DeptLookup!A:C,3,FALSE()),"")="",NA(),VLOOKUP($B$3&amp;"|"&amp;11,_DeptLookup!A:D,4,FALSE()))</f>
        <v/>
      </c>
    </row>
  </sheetData>
  <mergeCells count="2">
    <mergeCell ref="A1:C1"/>
    <mergeCell ref="B3:C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55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pane xSplit="0" ySplit="3" topLeftCell="A4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8.66796875" defaultRowHeight="14.25" customHeight="1" zeroHeight="0" outlineLevelRow="0"/>
  <cols>
    <col width="6" customWidth="1" style="90" min="1" max="1"/>
    <col width="45" customWidth="1" style="90" min="2" max="2"/>
    <col width="18" customWidth="1" style="90" min="3" max="3"/>
    <col width="22" customWidth="1" style="90" min="4" max="4"/>
    <col width="10" customWidth="1" style="90" min="5" max="5"/>
    <col width="13" customWidth="1" style="90" min="6" max="6"/>
    <col width="16" customWidth="1" style="90" min="7" max="8"/>
    <col width="55" customWidth="1" style="90" min="9" max="9"/>
  </cols>
  <sheetData>
    <row r="1" ht="30" customHeight="1" s="91">
      <c r="A1" s="118" t="inlineStr">
        <is>
          <t>Top 50 U.S. Business Schools — Faculty Composition (2025)</t>
        </is>
      </c>
    </row>
    <row r="2" ht="18.75" customHeight="1" s="91">
      <c r="A2" s="119" t="inlineStr">
        <is>
          <t>T-T = tenure-track + tenured only; excludes lecturers, adjuncts, emeriti</t>
        </is>
      </c>
    </row>
    <row r="3" ht="21.75" customHeight="1" s="91">
      <c r="A3" s="120" t="inlineStr">
        <is>
          <t>Rank</t>
        </is>
      </c>
      <c r="B3" s="120" t="inlineStr">
        <is>
          <t>School Full Name</t>
        </is>
      </c>
      <c r="C3" s="120" t="inlineStr">
        <is>
          <t>Short Name</t>
        </is>
      </c>
      <c r="D3" s="120" t="inlineStr">
        <is>
          <t>Location</t>
        </is>
      </c>
      <c r="E3" s="120" t="inlineStr">
        <is>
          <t>Type</t>
        </is>
      </c>
      <c r="F3" s="120" t="inlineStr">
        <is>
          <t>Departments</t>
        </is>
      </c>
      <c r="G3" s="120" t="inlineStr">
        <is>
          <t>Total T-T Faculty</t>
        </is>
      </c>
    </row>
    <row r="4" ht="19.5" customHeight="1" s="91">
      <c r="A4" s="121" t="n">
        <v>1</v>
      </c>
      <c r="B4" s="122" t="inlineStr">
        <is>
          <t>University of Pennsylvania – Wharton School</t>
        </is>
      </c>
      <c r="C4" s="122" t="inlineStr">
        <is>
          <t>Wharton</t>
        </is>
      </c>
      <c r="D4" s="122" t="n">
        <v>246</v>
      </c>
      <c r="E4" s="121" t="inlineStr">
        <is>
          <t>Private</t>
        </is>
      </c>
      <c r="F4" s="121" t="n">
        <v>10</v>
      </c>
      <c r="G4" s="121" t="n">
        <v>246</v>
      </c>
    </row>
    <row r="5" ht="19.5" customHeight="1" s="91">
      <c r="A5" s="123" t="n">
        <v>2</v>
      </c>
      <c r="B5" s="124" t="inlineStr">
        <is>
          <t>Harvard University – Harvard Business School</t>
        </is>
      </c>
      <c r="C5" s="124" t="inlineStr">
        <is>
          <t>Harvard HBS</t>
        </is>
      </c>
      <c r="D5" s="124" t="n">
        <v>201</v>
      </c>
      <c r="E5" s="123" t="inlineStr">
        <is>
          <t>Private</t>
        </is>
      </c>
      <c r="F5" s="123" t="n">
        <v>10</v>
      </c>
      <c r="G5" s="123" t="n">
        <v>209</v>
      </c>
    </row>
    <row r="6" ht="19.5" customHeight="1" s="91">
      <c r="A6" s="121" t="n">
        <v>3</v>
      </c>
      <c r="B6" s="122" t="inlineStr">
        <is>
          <t>University of Chicago – Booth School of Business</t>
        </is>
      </c>
      <c r="C6" s="122" t="inlineStr">
        <is>
          <t>Chicago Booth</t>
        </is>
      </c>
      <c r="D6" s="122" t="n">
        <v>144</v>
      </c>
      <c r="E6" s="121" t="inlineStr">
        <is>
          <t>Private</t>
        </is>
      </c>
      <c r="F6" s="121" t="n">
        <v>11</v>
      </c>
      <c r="G6" s="121" t="n">
        <v>144</v>
      </c>
    </row>
    <row r="7" ht="19.5" customHeight="1" s="91">
      <c r="A7" s="123" t="n">
        <v>4</v>
      </c>
      <c r="B7" s="124" t="inlineStr">
        <is>
          <t>Northwestern University – Kellogg School of Management</t>
        </is>
      </c>
      <c r="C7" s="124" t="inlineStr">
        <is>
          <t>Kellogg</t>
        </is>
      </c>
      <c r="D7" s="124" t="n">
        <v>141</v>
      </c>
      <c r="E7" s="123" t="inlineStr">
        <is>
          <t>Private</t>
        </is>
      </c>
      <c r="F7" s="123" t="n">
        <v>7</v>
      </c>
      <c r="G7" s="123" t="n">
        <v>141</v>
      </c>
    </row>
    <row r="8" ht="19.5" customHeight="1" s="91">
      <c r="A8" s="121" t="n">
        <v>5</v>
      </c>
      <c r="B8" s="122" t="inlineStr">
        <is>
          <t>MIT – Sloan School of Management</t>
        </is>
      </c>
      <c r="C8" s="122" t="inlineStr">
        <is>
          <t>MIT Sloan</t>
        </is>
      </c>
      <c r="D8" s="122" t="n">
        <v>129</v>
      </c>
      <c r="E8" s="121" t="inlineStr">
        <is>
          <t>Private</t>
        </is>
      </c>
      <c r="F8" s="121" t="n">
        <v>11</v>
      </c>
      <c r="G8" s="121" t="n">
        <v>129</v>
      </c>
    </row>
    <row r="9" ht="19.5" customHeight="1" s="91">
      <c r="A9" s="123" t="n">
        <v>6</v>
      </c>
      <c r="B9" s="124" t="inlineStr">
        <is>
          <t>Stanford University – Graduate School of Business</t>
        </is>
      </c>
      <c r="C9" s="124" t="inlineStr">
        <is>
          <t>Stanford GSB</t>
        </is>
      </c>
      <c r="D9" s="124" t="n">
        <v>122</v>
      </c>
      <c r="E9" s="123" t="inlineStr">
        <is>
          <t>Private</t>
        </is>
      </c>
      <c r="F9" s="123" t="n">
        <v>7</v>
      </c>
      <c r="G9" s="123" t="n">
        <v>122</v>
      </c>
    </row>
    <row r="10" ht="22.5" customHeight="1" s="91">
      <c r="A10" s="121" t="n">
        <v>7</v>
      </c>
      <c r="B10" s="122" t="inlineStr">
        <is>
          <t>Columbia University – Columbia Business School</t>
        </is>
      </c>
      <c r="C10" s="122" t="inlineStr">
        <is>
          <t>Columbia CBS</t>
        </is>
      </c>
      <c r="D10" s="122" t="n">
        <v>123</v>
      </c>
      <c r="E10" s="121" t="inlineStr">
        <is>
          <t>Private</t>
        </is>
      </c>
      <c r="F10" s="121" t="n">
        <v>6</v>
      </c>
      <c r="G10" s="121" t="n">
        <v>123</v>
      </c>
    </row>
    <row r="11" ht="19.5" customHeight="1" s="91">
      <c r="A11" s="123" t="n">
        <v>8</v>
      </c>
      <c r="B11" s="124" t="inlineStr">
        <is>
          <t>New York University – Stern School of Business</t>
        </is>
      </c>
      <c r="C11" s="124" t="inlineStr">
        <is>
          <t>NYU Stern</t>
        </is>
      </c>
      <c r="D11" s="124" t="n">
        <v>170</v>
      </c>
      <c r="E11" s="123" t="inlineStr">
        <is>
          <t>Private</t>
        </is>
      </c>
      <c r="F11" s="123" t="n">
        <v>6</v>
      </c>
      <c r="G11" s="123" t="n">
        <v>125</v>
      </c>
    </row>
    <row r="12" ht="19.5" customHeight="1" s="91">
      <c r="A12" s="121" t="n">
        <v>9</v>
      </c>
      <c r="B12" s="122" t="inlineStr">
        <is>
          <t>Dartmouth College – Tuck School of Business</t>
        </is>
      </c>
      <c r="C12" s="122" t="inlineStr">
        <is>
          <t>Dartmouth Tuck</t>
        </is>
      </c>
      <c r="D12" s="122" t="n">
        <v>55</v>
      </c>
      <c r="E12" s="121" t="inlineStr">
        <is>
          <t>Private</t>
        </is>
      </c>
      <c r="F12" s="121" t="n">
        <v>7</v>
      </c>
      <c r="G12" s="121" t="n">
        <v>34</v>
      </c>
    </row>
    <row r="13" ht="19.5" customHeight="1" s="91">
      <c r="A13" s="123" t="n">
        <v>10</v>
      </c>
      <c r="B13" s="124" t="inlineStr">
        <is>
          <t>Yale University – Yale School of Management</t>
        </is>
      </c>
      <c r="C13" s="124" t="inlineStr">
        <is>
          <t>Yale SOM</t>
        </is>
      </c>
      <c r="D13" s="124" t="n">
        <v>110</v>
      </c>
      <c r="E13" s="123" t="inlineStr">
        <is>
          <t>Private</t>
        </is>
      </c>
      <c r="F13" s="123" t="n">
        <v>7</v>
      </c>
      <c r="G13" s="123" t="n">
        <v>40</v>
      </c>
    </row>
    <row r="14" ht="19.5" customHeight="1" s="91">
      <c r="A14" s="121" t="n">
        <v>11</v>
      </c>
      <c r="B14" s="122" t="inlineStr">
        <is>
          <t>UC Berkeley – Haas School of Business</t>
        </is>
      </c>
      <c r="C14" s="122" t="inlineStr">
        <is>
          <t>Berkeley Haas</t>
        </is>
      </c>
      <c r="D14" s="122" t="n">
        <v>84</v>
      </c>
      <c r="E14" s="121" t="inlineStr">
        <is>
          <t>Public</t>
        </is>
      </c>
      <c r="F14" s="121" t="n">
        <v>6</v>
      </c>
      <c r="G14" s="121" t="n">
        <v>84</v>
      </c>
    </row>
    <row r="15" ht="19.5" customHeight="1" s="91">
      <c r="A15" s="123" t="n">
        <v>12</v>
      </c>
      <c r="B15" s="124" t="inlineStr">
        <is>
          <t>University of Virginia – Darden School</t>
        </is>
      </c>
      <c r="C15" s="124" t="inlineStr">
        <is>
          <t>UVA Darden</t>
        </is>
      </c>
      <c r="D15" s="124" t="n">
        <v>89</v>
      </c>
      <c r="E15" s="123" t="inlineStr">
        <is>
          <t>Public</t>
        </is>
      </c>
      <c r="F15" s="123" t="n">
        <v>6</v>
      </c>
      <c r="G15" s="123" t="n">
        <v>50</v>
      </c>
    </row>
    <row r="16" ht="19.5" customHeight="1" s="91">
      <c r="A16" s="121" t="n">
        <v>13</v>
      </c>
      <c r="B16" s="122" t="inlineStr">
        <is>
          <t>University of Michigan – Ross School of Business</t>
        </is>
      </c>
      <c r="C16" s="122" t="inlineStr">
        <is>
          <t>Michigan Ross</t>
        </is>
      </c>
      <c r="D16" s="122" t="n">
        <v>112</v>
      </c>
      <c r="E16" s="121" t="inlineStr">
        <is>
          <t>Public</t>
        </is>
      </c>
      <c r="F16" s="121" t="n">
        <v>7</v>
      </c>
      <c r="G16" s="121" t="n">
        <v>74</v>
      </c>
    </row>
    <row r="17" ht="19.5" customHeight="1" s="91">
      <c r="A17" s="123" t="n">
        <v>14</v>
      </c>
      <c r="B17" s="124" t="inlineStr">
        <is>
          <t>Duke University – Fuqua School of Business</t>
        </is>
      </c>
      <c r="C17" s="124" t="inlineStr">
        <is>
          <t>Duke Fuqua</t>
        </is>
      </c>
      <c r="D17" s="124" t="n">
        <v>95</v>
      </c>
      <c r="E17" s="123" t="inlineStr">
        <is>
          <t>Private</t>
        </is>
      </c>
      <c r="F17" s="123" t="n">
        <v>8</v>
      </c>
      <c r="G17" s="123" t="n">
        <v>47</v>
      </c>
    </row>
    <row r="18" ht="19.5" customHeight="1" s="91">
      <c r="A18" s="121" t="n">
        <v>15</v>
      </c>
      <c r="B18" s="122" t="inlineStr">
        <is>
          <t>Cornell University – SC Johnson Graduate School</t>
        </is>
      </c>
      <c r="C18" s="122" t="inlineStr">
        <is>
          <t>Cornell Johnson</t>
        </is>
      </c>
      <c r="D18" s="122" t="n">
        <v>145</v>
      </c>
      <c r="E18" s="121" t="inlineStr">
        <is>
          <t>Private</t>
        </is>
      </c>
      <c r="F18" s="121" t="n">
        <v>7</v>
      </c>
      <c r="G18" s="121" t="n">
        <v>36</v>
      </c>
    </row>
    <row r="19" ht="19.5" customHeight="1" s="91">
      <c r="A19" s="123" t="n">
        <v>16</v>
      </c>
      <c r="B19" s="124" t="inlineStr">
        <is>
          <t>UT Austin – McCombs School of Business</t>
        </is>
      </c>
      <c r="C19" s="124" t="inlineStr">
        <is>
          <t>UT McCombs</t>
        </is>
      </c>
      <c r="D19" s="124" t="n">
        <v>138</v>
      </c>
      <c r="E19" s="123" t="inlineStr">
        <is>
          <t>Public</t>
        </is>
      </c>
      <c r="F19" s="123" t="n">
        <v>6</v>
      </c>
      <c r="G19" s="123" t="n">
        <v>72</v>
      </c>
    </row>
    <row r="20" ht="19.5" customHeight="1" s="91">
      <c r="A20" s="121" t="n">
        <v>17</v>
      </c>
      <c r="B20" s="122" t="inlineStr">
        <is>
          <t>Emory University – Goizueta Business School</t>
        </is>
      </c>
      <c r="C20" s="122" t="inlineStr">
        <is>
          <t>Emory Goizueta</t>
        </is>
      </c>
      <c r="D20" s="122" t="n">
        <v>45</v>
      </c>
      <c r="E20" s="121" t="inlineStr">
        <is>
          <t>Private</t>
        </is>
      </c>
      <c r="F20" s="121" t="n">
        <v>5</v>
      </c>
      <c r="G20" s="121" t="n">
        <v>41</v>
      </c>
    </row>
    <row r="21" ht="19.5" customHeight="1" s="91">
      <c r="A21" s="123" t="n">
        <v>18</v>
      </c>
      <c r="B21" s="124" t="inlineStr">
        <is>
          <t>Carnegie Mellon – Tepper School of Business</t>
        </is>
      </c>
      <c r="C21" s="124" t="inlineStr">
        <is>
          <t>CMU Tepper</t>
        </is>
      </c>
      <c r="D21" s="124" t="n">
        <v>82</v>
      </c>
      <c r="E21" s="123" t="inlineStr">
        <is>
          <t>Private</t>
        </is>
      </c>
      <c r="F21" s="123" t="n">
        <v>7</v>
      </c>
      <c r="G21" s="123" t="n">
        <v>46</v>
      </c>
    </row>
    <row r="22" ht="19.5" customHeight="1" s="91">
      <c r="A22" s="121" t="n">
        <v>19</v>
      </c>
      <c r="B22" s="122" t="inlineStr">
        <is>
          <t>UCLA – Anderson School of Management</t>
        </is>
      </c>
      <c r="C22" s="122" t="inlineStr">
        <is>
          <t>UCLA Anderson</t>
        </is>
      </c>
      <c r="D22" s="122" t="n">
        <v>68</v>
      </c>
      <c r="E22" s="121" t="inlineStr">
        <is>
          <t>Public</t>
        </is>
      </c>
      <c r="F22" s="121" t="n">
        <v>8</v>
      </c>
      <c r="G22" s="121" t="n">
        <v>38</v>
      </c>
    </row>
    <row r="23" ht="19.5" customHeight="1" s="91">
      <c r="A23" s="123" t="n">
        <v>20</v>
      </c>
      <c r="B23" s="124" t="inlineStr">
        <is>
          <t>Vanderbilt University – Owen Graduate School</t>
        </is>
      </c>
      <c r="C23" s="124" t="inlineStr">
        <is>
          <t>Vanderbilt Owen</t>
        </is>
      </c>
      <c r="D23" s="124" t="n">
        <v>49</v>
      </c>
      <c r="E23" s="123" t="inlineStr">
        <is>
          <t>Private</t>
        </is>
      </c>
      <c r="F23" s="123" t="n">
        <v>6</v>
      </c>
      <c r="G23" s="123" t="n">
        <v>29</v>
      </c>
    </row>
    <row r="24" ht="19.5" customHeight="1" s="91">
      <c r="A24" s="121" t="n">
        <v>21</v>
      </c>
      <c r="B24" s="122" t="inlineStr">
        <is>
          <t>Washington University – Olin Business School</t>
        </is>
      </c>
      <c r="C24" s="122" t="inlineStr">
        <is>
          <t>WashU Olin</t>
        </is>
      </c>
      <c r="D24" s="122" t="n">
        <v>44</v>
      </c>
      <c r="E24" s="121" t="inlineStr">
        <is>
          <t>Private</t>
        </is>
      </c>
      <c r="F24" s="121" t="n">
        <v>6</v>
      </c>
      <c r="G24" s="121" t="n">
        <v>54</v>
      </c>
    </row>
    <row r="25" ht="19.5" customHeight="1" s="91">
      <c r="A25" s="123" t="n">
        <v>22</v>
      </c>
      <c r="B25" s="124" t="inlineStr">
        <is>
          <t>Georgetown University – McDonough School</t>
        </is>
      </c>
      <c r="C25" s="124" t="inlineStr">
        <is>
          <t>Georgetown MSOB</t>
        </is>
      </c>
      <c r="D25" s="124" t="n">
        <v>79</v>
      </c>
      <c r="E25" s="123" t="inlineStr">
        <is>
          <t>Private</t>
        </is>
      </c>
      <c r="F25" s="123" t="n">
        <v>6</v>
      </c>
      <c r="G25" s="123" t="n">
        <v>49</v>
      </c>
    </row>
    <row r="26" ht="19.5" customHeight="1" s="91">
      <c r="A26" s="121" t="n">
        <v>23</v>
      </c>
      <c r="B26" s="122" t="inlineStr">
        <is>
          <t>Indiana University – Kelley School of Business</t>
        </is>
      </c>
      <c r="C26" s="122" t="inlineStr">
        <is>
          <t>Indiana Kelley</t>
        </is>
      </c>
      <c r="D26" s="122" t="n">
        <v>196</v>
      </c>
      <c r="E26" s="121" t="inlineStr">
        <is>
          <t>Public</t>
        </is>
      </c>
      <c r="F26" s="121" t="n">
        <v>7</v>
      </c>
      <c r="G26" s="121" t="n">
        <v>48</v>
      </c>
    </row>
    <row r="27" ht="19.5" customHeight="1" s="91">
      <c r="A27" s="123" t="n">
        <v>24</v>
      </c>
      <c r="B27" s="124" t="inlineStr">
        <is>
          <t>UNC Chapel Hill – Kenan-Flagler Business School</t>
        </is>
      </c>
      <c r="C27" s="124" t="inlineStr">
        <is>
          <t>UNC Kenan-Flagler</t>
        </is>
      </c>
      <c r="D27" s="124" t="n">
        <v>81</v>
      </c>
      <c r="E27" s="123" t="inlineStr">
        <is>
          <t>Public</t>
        </is>
      </c>
      <c r="F27" s="123" t="n">
        <v>7</v>
      </c>
      <c r="G27" s="123" t="n">
        <v>46</v>
      </c>
    </row>
    <row r="28" ht="19.5" customHeight="1" s="91">
      <c r="A28" s="121" t="n">
        <v>25</v>
      </c>
      <c r="B28" s="122" t="inlineStr">
        <is>
          <t>University of Notre Dame – Mendoza College</t>
        </is>
      </c>
      <c r="C28" s="122" t="inlineStr">
        <is>
          <t>Notre Dame Mendoza</t>
        </is>
      </c>
      <c r="D28" s="122" t="n">
        <v>98</v>
      </c>
      <c r="E28" s="121" t="inlineStr">
        <is>
          <t>Private</t>
        </is>
      </c>
      <c r="F28" s="121" t="n">
        <v>5</v>
      </c>
      <c r="G28" s="121" t="n">
        <v>59</v>
      </c>
    </row>
    <row r="29" ht="19.5" customHeight="1" s="91">
      <c r="A29" s="123" t="n">
        <v>26</v>
      </c>
      <c r="B29" s="124" t="inlineStr">
        <is>
          <t>USC – Marshall School of Business</t>
        </is>
      </c>
      <c r="C29" s="124" t="inlineStr">
        <is>
          <t>USC Marshall</t>
        </is>
      </c>
      <c r="D29" s="124" t="n">
        <v>136</v>
      </c>
      <c r="E29" s="123" t="inlineStr">
        <is>
          <t>Private</t>
        </is>
      </c>
      <c r="F29" s="123" t="n">
        <v>5</v>
      </c>
      <c r="G29" s="123" t="n">
        <v>63</v>
      </c>
    </row>
    <row r="30" ht="19.5" customHeight="1" s="91">
      <c r="A30" s="121" t="n">
        <v>27</v>
      </c>
      <c r="B30" s="122" t="inlineStr">
        <is>
          <t>Rice University – Jones Graduate School</t>
        </is>
      </c>
      <c r="C30" s="122" t="inlineStr">
        <is>
          <t>Rice Jones</t>
        </is>
      </c>
      <c r="D30" s="122" t="n">
        <v>73</v>
      </c>
      <c r="E30" s="121" t="inlineStr">
        <is>
          <t>Private</t>
        </is>
      </c>
      <c r="F30" s="121" t="n">
        <v>6</v>
      </c>
      <c r="G30" s="121" t="n">
        <v>42</v>
      </c>
    </row>
    <row r="31" ht="19.5" customHeight="1" s="91">
      <c r="A31" s="123" t="n">
        <v>28</v>
      </c>
      <c r="B31" s="124" t="inlineStr">
        <is>
          <t>University of Minnesota – Carlson School of Mgmt</t>
        </is>
      </c>
      <c r="C31" s="124" t="inlineStr">
        <is>
          <t>Minnesota Carlson</t>
        </is>
      </c>
      <c r="D31" s="124" t="n">
        <v>86</v>
      </c>
      <c r="E31" s="123" t="inlineStr">
        <is>
          <t>Public</t>
        </is>
      </c>
      <c r="F31" s="123" t="n">
        <v>6</v>
      </c>
      <c r="G31" s="123" t="n">
        <v>104</v>
      </c>
    </row>
    <row r="32" ht="19.5" customHeight="1" s="91">
      <c r="A32" s="121" t="n">
        <v>29</v>
      </c>
      <c r="B32" s="122" t="inlineStr">
        <is>
          <t>Ohio State University – Fisher College of Business</t>
        </is>
      </c>
      <c r="C32" s="122" t="inlineStr">
        <is>
          <t>Ohio State Fisher</t>
        </is>
      </c>
      <c r="D32" s="122" t="n">
        <v>49</v>
      </c>
      <c r="E32" s="121" t="inlineStr">
        <is>
          <t>Public</t>
        </is>
      </c>
      <c r="F32" s="121" t="n">
        <v>5</v>
      </c>
      <c r="G32" s="121" t="n">
        <v>40</v>
      </c>
    </row>
    <row r="33" ht="19.5" customHeight="1" s="91">
      <c r="A33" s="123" t="n">
        <v>30</v>
      </c>
      <c r="B33" s="124" t="inlineStr">
        <is>
          <t>Georgia Tech – Scheller College of Business</t>
        </is>
      </c>
      <c r="C33" s="124" t="inlineStr">
        <is>
          <t>GT Scheller</t>
        </is>
      </c>
      <c r="D33" s="124" t="n">
        <v>61</v>
      </c>
      <c r="E33" s="123" t="inlineStr">
        <is>
          <t>Public</t>
        </is>
      </c>
      <c r="F33" s="123" t="n">
        <v>8</v>
      </c>
      <c r="G33" s="123" t="n">
        <v>38</v>
      </c>
    </row>
    <row r="34" ht="19.5" customHeight="1" s="91">
      <c r="A34" s="121" t="n">
        <v>31</v>
      </c>
      <c r="B34" s="122" t="inlineStr">
        <is>
          <t>Penn State – Smeal College of Business</t>
        </is>
      </c>
      <c r="C34" s="122" t="inlineStr">
        <is>
          <t>Penn State Smeal</t>
        </is>
      </c>
      <c r="D34" s="122" t="n">
        <v>121</v>
      </c>
      <c r="E34" s="121" t="inlineStr">
        <is>
          <t>Public</t>
        </is>
      </c>
      <c r="F34" s="121" t="n">
        <v>6</v>
      </c>
      <c r="G34" s="121" t="n">
        <v>37</v>
      </c>
    </row>
    <row r="35" ht="19.5" customHeight="1" s="91">
      <c r="A35" s="123" t="n">
        <v>32</v>
      </c>
      <c r="B35" s="124" t="inlineStr">
        <is>
          <t>Texas A&amp;M – Mays Business School</t>
        </is>
      </c>
      <c r="C35" s="124" t="inlineStr">
        <is>
          <t>Texas A&amp;M Mays</t>
        </is>
      </c>
      <c r="D35" s="124" t="n">
        <v>99</v>
      </c>
      <c r="E35" s="123" t="inlineStr">
        <is>
          <t>Public</t>
        </is>
      </c>
      <c r="F35" s="123" t="n">
        <v>5</v>
      </c>
      <c r="G35" s="123" t="n">
        <v>47</v>
      </c>
    </row>
    <row r="36" ht="19.5" customHeight="1" s="91">
      <c r="A36" s="121" t="n">
        <v>33</v>
      </c>
      <c r="B36" s="122" t="inlineStr">
        <is>
          <t>Purdue University – Krannert School of Management</t>
        </is>
      </c>
      <c r="C36" s="122" t="inlineStr">
        <is>
          <t>Purdue Krannert</t>
        </is>
      </c>
      <c r="D36" s="122" t="n">
        <v>104</v>
      </c>
      <c r="E36" s="121" t="inlineStr">
        <is>
          <t>Public</t>
        </is>
      </c>
      <c r="F36" s="121" t="n">
        <v>8</v>
      </c>
      <c r="G36" s="121" t="n">
        <v>79</v>
      </c>
    </row>
    <row r="37" ht="19.5" customHeight="1" s="91">
      <c r="A37" s="123" t="n">
        <v>34</v>
      </c>
      <c r="B37" s="124" t="inlineStr">
        <is>
          <t>Arizona State University – Carey School of Business</t>
        </is>
      </c>
      <c r="C37" s="124" t="inlineStr">
        <is>
          <t>ASU Carey</t>
        </is>
      </c>
      <c r="D37" s="124" t="inlineStr">
        <is>
          <t>Tempe, AZ</t>
        </is>
      </c>
      <c r="E37" s="123" t="inlineStr">
        <is>
          <t>Public</t>
        </is>
      </c>
      <c r="F37" s="123" t="n">
        <v>7</v>
      </c>
      <c r="G37" s="123" t="n">
        <v>44</v>
      </c>
    </row>
    <row r="38" ht="19.5" customHeight="1" s="91">
      <c r="A38" s="121" t="n">
        <v>35</v>
      </c>
      <c r="B38" s="122" t="inlineStr">
        <is>
          <t>University of Wisconsin – School of Business</t>
        </is>
      </c>
      <c r="C38" s="122" t="inlineStr">
        <is>
          <t>Wisconsin SoB</t>
        </is>
      </c>
      <c r="D38" s="122" t="n">
        <v>92</v>
      </c>
      <c r="E38" s="121" t="inlineStr">
        <is>
          <t>Public</t>
        </is>
      </c>
      <c r="F38" s="121" t="n">
        <v>7</v>
      </c>
      <c r="G38" s="121" t="n">
        <v>42</v>
      </c>
    </row>
    <row r="39" ht="19.5" customHeight="1" s="91">
      <c r="A39" s="123" t="n">
        <v>36</v>
      </c>
      <c r="B39" s="124" t="inlineStr">
        <is>
          <t>University of Maryland – Smith School of Business</t>
        </is>
      </c>
      <c r="C39" s="124" t="inlineStr">
        <is>
          <t>Maryland Smith</t>
        </is>
      </c>
      <c r="D39" s="124" t="n">
        <v>89</v>
      </c>
      <c r="E39" s="123" t="inlineStr">
        <is>
          <t>Public</t>
        </is>
      </c>
      <c r="F39" s="123" t="n">
        <v>6</v>
      </c>
      <c r="G39" s="123" t="n">
        <v>135</v>
      </c>
    </row>
    <row r="40" ht="19.5" customHeight="1" s="91">
      <c r="A40" s="121" t="n">
        <v>37</v>
      </c>
      <c r="B40" s="122" t="inlineStr">
        <is>
          <t>Boston University – Questrom School of Business</t>
        </is>
      </c>
      <c r="C40" s="122" t="inlineStr">
        <is>
          <t>BU Questrom</t>
        </is>
      </c>
      <c r="D40" s="122" t="n">
        <v>86</v>
      </c>
      <c r="E40" s="121" t="inlineStr">
        <is>
          <t>Private</t>
        </is>
      </c>
      <c r="F40" s="121" t="n">
        <v>8</v>
      </c>
      <c r="G40" s="121" t="n">
        <v>76</v>
      </c>
    </row>
    <row r="41" ht="19.5" customHeight="1" s="91">
      <c r="A41" s="123" t="n">
        <v>38</v>
      </c>
      <c r="B41" s="124" t="inlineStr">
        <is>
          <t>University of Florida – Warrington College</t>
        </is>
      </c>
      <c r="C41" s="124" t="inlineStr">
        <is>
          <t>UF Warrington</t>
        </is>
      </c>
      <c r="D41" s="124" t="n">
        <v>50</v>
      </c>
      <c r="E41" s="123" t="inlineStr">
        <is>
          <t>Public</t>
        </is>
      </c>
      <c r="F41" s="123" t="n">
        <v>5</v>
      </c>
      <c r="G41" s="123" t="n">
        <v>38</v>
      </c>
    </row>
    <row r="42" ht="19.5" customHeight="1" s="91">
      <c r="A42" s="121" t="n">
        <v>39</v>
      </c>
      <c r="B42" s="122" t="inlineStr">
        <is>
          <t>Southern Methodist Univ. – Cox School of Business</t>
        </is>
      </c>
      <c r="C42" s="122" t="inlineStr">
        <is>
          <t>SMU Cox</t>
        </is>
      </c>
      <c r="D42" s="122" t="n">
        <v>59</v>
      </c>
      <c r="E42" s="121" t="inlineStr">
        <is>
          <t>Private</t>
        </is>
      </c>
      <c r="F42" s="121" t="n">
        <v>6</v>
      </c>
      <c r="G42" s="121" t="n">
        <v>37</v>
      </c>
    </row>
    <row r="43" ht="19.5" customHeight="1" s="91">
      <c r="A43" s="123" t="n">
        <v>40</v>
      </c>
      <c r="B43" s="124" t="inlineStr">
        <is>
          <t>University of Washington – Foster School of Business</t>
        </is>
      </c>
      <c r="C43" s="124" t="inlineStr">
        <is>
          <t>UW Foster</t>
        </is>
      </c>
      <c r="D43" s="124" t="n">
        <v>95</v>
      </c>
      <c r="E43" s="123" t="inlineStr">
        <is>
          <t>Public</t>
        </is>
      </c>
      <c r="F43" s="123" t="n">
        <v>5</v>
      </c>
      <c r="G43" s="123" t="n">
        <v>48</v>
      </c>
    </row>
    <row r="44" ht="19.5" customHeight="1" s="91">
      <c r="A44" s="121" t="n">
        <v>41</v>
      </c>
      <c r="B44" s="122" t="inlineStr">
        <is>
          <t>University of Pittsburgh – Katz Graduate School</t>
        </is>
      </c>
      <c r="C44" s="122" t="inlineStr">
        <is>
          <t>Pitt Katz</t>
        </is>
      </c>
      <c r="D44" s="122" t="n">
        <v>59</v>
      </c>
      <c r="E44" s="121" t="inlineStr">
        <is>
          <t>Public</t>
        </is>
      </c>
      <c r="F44" s="121" t="n">
        <v>7</v>
      </c>
      <c r="G44" s="121" t="n">
        <v>51</v>
      </c>
    </row>
    <row r="45" ht="19.5" customHeight="1" s="91">
      <c r="A45" s="123" t="n">
        <v>42</v>
      </c>
      <c r="B45" s="124" t="inlineStr">
        <is>
          <t>Northeastern – DAmore-McKim School of Business</t>
        </is>
      </c>
      <c r="C45" s="124" t="inlineStr">
        <is>
          <t>NEU DAmore-McKim</t>
        </is>
      </c>
      <c r="D45" s="124" t="inlineStr">
        <is>
          <t>Boston, MA</t>
        </is>
      </c>
      <c r="E45" s="123" t="inlineStr">
        <is>
          <t>Private</t>
        </is>
      </c>
      <c r="F45" s="123" t="n">
        <v>7</v>
      </c>
      <c r="G45" s="123" t="n">
        <v>46</v>
      </c>
    </row>
    <row r="46" ht="19.5" customHeight="1" s="91">
      <c r="A46" s="121" t="n">
        <v>43</v>
      </c>
      <c r="B46" s="122" t="inlineStr">
        <is>
          <t>Tulane University – Freeman School of Business</t>
        </is>
      </c>
      <c r="C46" s="122" t="inlineStr">
        <is>
          <t>Tulane Freeman</t>
        </is>
      </c>
      <c r="D46" s="122" t="n">
        <v>57</v>
      </c>
      <c r="E46" s="121" t="inlineStr">
        <is>
          <t>Private</t>
        </is>
      </c>
      <c r="F46" s="121" t="n">
        <v>4</v>
      </c>
      <c r="G46" s="121" t="n">
        <v>50</v>
      </c>
    </row>
    <row r="47" ht="19.5" customHeight="1" s="91">
      <c r="A47" s="123" t="n">
        <v>44</v>
      </c>
      <c r="B47" s="124" t="inlineStr">
        <is>
          <t>University of Iowa – Tippie College of Business</t>
        </is>
      </c>
      <c r="C47" s="124" t="inlineStr">
        <is>
          <t>Iowa Tippie</t>
        </is>
      </c>
      <c r="D47" s="124" t="inlineStr">
        <is>
          <t>Iowa City, IA</t>
        </is>
      </c>
      <c r="E47" s="123" t="inlineStr">
        <is>
          <t>Public</t>
        </is>
      </c>
      <c r="F47" s="123" t="n">
        <v>6</v>
      </c>
      <c r="G47" s="123" t="n">
        <v>43</v>
      </c>
    </row>
    <row r="48" ht="19.5" customHeight="1" s="91">
      <c r="A48" s="121" t="n">
        <v>45</v>
      </c>
      <c r="B48" s="122" t="inlineStr">
        <is>
          <t>George Washington Univ. – School of Business</t>
        </is>
      </c>
      <c r="C48" s="122" t="inlineStr">
        <is>
          <t>GWU GWSB</t>
        </is>
      </c>
      <c r="D48" s="122" t="inlineStr">
        <is>
          <t>Washington, DC</t>
        </is>
      </c>
      <c r="E48" s="121" t="inlineStr">
        <is>
          <t>Private</t>
        </is>
      </c>
      <c r="F48" s="121" t="n">
        <v>8</v>
      </c>
      <c r="G48" s="121" t="n">
        <v>83</v>
      </c>
    </row>
    <row r="49" ht="19.5" customHeight="1" s="91">
      <c r="A49" s="123" t="n">
        <v>46</v>
      </c>
      <c r="B49" s="124" t="inlineStr">
        <is>
          <t>Brigham Young Univ. – Marriott School of Business</t>
        </is>
      </c>
      <c r="C49" s="124" t="inlineStr">
        <is>
          <t>BYU Marriott</t>
        </is>
      </c>
      <c r="D49" s="124" t="n">
        <v>123</v>
      </c>
      <c r="E49" s="123" t="inlineStr">
        <is>
          <t>Private</t>
        </is>
      </c>
      <c r="F49" s="123" t="n">
        <v>8</v>
      </c>
      <c r="G49" s="123" t="n">
        <v>62</v>
      </c>
    </row>
    <row r="50" ht="19.5" customHeight="1" s="91">
      <c r="A50" s="121" t="n">
        <v>47</v>
      </c>
      <c r="B50" s="122" t="inlineStr">
        <is>
          <t>Univ. of Rochester – Simon Business School</t>
        </is>
      </c>
      <c r="C50" s="122" t="inlineStr">
        <is>
          <t>Rochester Simon</t>
        </is>
      </c>
      <c r="D50" s="122" t="inlineStr">
        <is>
          <t>Rochester, NY</t>
        </is>
      </c>
      <c r="E50" s="121" t="inlineStr">
        <is>
          <t>Private</t>
        </is>
      </c>
      <c r="F50" s="121" t="n">
        <v>5</v>
      </c>
      <c r="G50" s="121" t="n">
        <v>43</v>
      </c>
    </row>
    <row r="51" ht="19.5" customHeight="1" s="91">
      <c r="A51" s="123" t="n">
        <v>48</v>
      </c>
      <c r="B51" s="124" t="inlineStr">
        <is>
          <t>Wake Forest Univ. – School of Business</t>
        </is>
      </c>
      <c r="C51" s="124" t="inlineStr">
        <is>
          <t>Wake Forest SoB</t>
        </is>
      </c>
      <c r="D51" s="124" t="inlineStr">
        <is>
          <t>Winston-Salem, NC</t>
        </is>
      </c>
      <c r="E51" s="123" t="inlineStr">
        <is>
          <t>Private</t>
        </is>
      </c>
      <c r="F51" s="123" t="n">
        <v>4</v>
      </c>
      <c r="G51" s="123" t="n">
        <v>50</v>
      </c>
    </row>
    <row r="52" ht="19.5" customHeight="1" s="91">
      <c r="A52" s="121" t="n">
        <v>49</v>
      </c>
      <c r="B52" s="122" t="inlineStr">
        <is>
          <t>Temple University – Fox School of Business</t>
        </is>
      </c>
      <c r="C52" s="122" t="inlineStr">
        <is>
          <t>Temple Fox</t>
        </is>
      </c>
      <c r="D52" s="122" t="inlineStr">
        <is>
          <t>Philadelphia, PA</t>
        </is>
      </c>
      <c r="E52" s="121" t="inlineStr">
        <is>
          <t>Public</t>
        </is>
      </c>
      <c r="F52" s="121" t="n">
        <v>9</v>
      </c>
      <c r="G52" s="121" t="n">
        <v>79</v>
      </c>
    </row>
    <row r="53" ht="19.5" customHeight="1" s="91">
      <c r="A53" s="123" t="n">
        <v>50</v>
      </c>
      <c r="B53" s="124" t="inlineStr">
        <is>
          <t>University of Miami – Miami Herbert Business School</t>
        </is>
      </c>
      <c r="C53" s="124" t="inlineStr">
        <is>
          <t>Miami Herbert</t>
        </is>
      </c>
      <c r="D53" s="124" t="inlineStr">
        <is>
          <t>Coral Gables, FL</t>
        </is>
      </c>
      <c r="E53" s="123" t="inlineStr">
        <is>
          <t>Private</t>
        </is>
      </c>
      <c r="F53" s="123" t="n">
        <v>8</v>
      </c>
      <c r="G53" s="123" t="n">
        <v>61</v>
      </c>
    </row>
    <row r="54" ht="14.25" customHeight="1" s="91">
      <c r="A54" s="125" t="n"/>
      <c r="B54" s="125" t="inlineStr">
        <is>
          <t>TOTALS / AVERAGES</t>
        </is>
      </c>
      <c r="C54" s="125" t="n"/>
      <c r="D54" s="125" t="n"/>
      <c r="E54" s="125" t="n"/>
      <c r="F54" s="125">
        <f>SUM(F4:F53)</f>
        <v/>
      </c>
      <c r="G54" s="125">
        <f>SUM(G4:G53)</f>
        <v/>
      </c>
    </row>
    <row r="55" ht="14.25" customHeight="1" s="91">
      <c r="A55" s="125" t="n"/>
      <c r="B55" s="125" t="inlineStr">
        <is>
          <t>AVERAGE PER SCHOOL</t>
        </is>
      </c>
      <c r="C55" s="125" t="n"/>
      <c r="D55" s="125" t="n"/>
      <c r="E55" s="125" t="n"/>
      <c r="F55" s="125">
        <f>AVERAGE(F4:F53)</f>
        <v/>
      </c>
      <c r="G55" s="125">
        <f>AVERAGE(G4:G53)</f>
        <v/>
      </c>
    </row>
  </sheetData>
  <autoFilter ref="A3:I53"/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4.25" customHeight="1" zeroHeight="0" outlineLevelRow="0"/>
  <cols>
    <col width="6" customWidth="1" style="90" min="1" max="1"/>
    <col width="18" customWidth="1" style="90" min="2" max="2"/>
    <col width="35" customWidth="1" style="90" min="3" max="3"/>
    <col width="70" customWidth="1" style="90" min="4" max="4"/>
    <col width="12" customWidth="1" style="90" min="5" max="5"/>
    <col width="13" customWidth="1" style="90" min="6" max="6"/>
    <col width="16" customWidth="1" style="90" min="7" max="7"/>
    <col width="55" customWidth="1" style="90" min="8" max="9"/>
    <col width="40" customWidth="1" style="90" min="10" max="10"/>
  </cols>
  <sheetData>
    <row r="1" ht="30" customHeight="1" s="91">
      <c r="A1" s="118" t="inlineStr">
        <is>
          <t>Top 50 U.S. Business Schools — Departments &amp; Academic Units</t>
        </is>
      </c>
      <c r="G1" s="90" t="inlineStr">
        <is>
          <t>Department URL</t>
        </is>
      </c>
    </row>
    <row r="2" ht="24" customHeight="1" s="91">
      <c r="A2" s="126" t="n">
        <v>1</v>
      </c>
      <c r="B2" s="90" t="inlineStr">
        <is>
          <t>Wharton</t>
        </is>
      </c>
      <c r="C2" s="90" t="inlineStr">
        <is>
          <t>Accounting</t>
        </is>
      </c>
      <c r="D2" s="90" t="inlineStr">
        <is>
          <t>Financial reporting, auditing, and tax research</t>
        </is>
      </c>
      <c r="E2" s="90" t="n">
        <v>4</v>
      </c>
      <c r="F2" s="90" t="n">
        <v>20</v>
      </c>
      <c r="G2" s="90" t="inlineStr">
        <is>
          <t>https://accounting.wharton.upenn.edu/faculty/</t>
        </is>
      </c>
    </row>
    <row r="3" ht="21.75" customHeight="1" s="91">
      <c r="A3" s="126" t="n">
        <v>1</v>
      </c>
      <c r="B3" s="126" t="inlineStr">
        <is>
          <t>Wharton</t>
        </is>
      </c>
      <c r="C3" s="126" t="inlineStr">
        <is>
          <t>Business Economics &amp; Public Policy</t>
        </is>
      </c>
      <c r="D3" s="126" t="inlineStr">
        <is>
          <t>Applied microeconomics, regulation, and public policy</t>
        </is>
      </c>
      <c r="E3" s="126" t="n">
        <v>4</v>
      </c>
      <c r="F3" s="126" t="n">
        <v>19</v>
      </c>
      <c r="G3" s="90" t="inlineStr">
        <is>
          <t>https://bepp.wharton.upenn.edu/faculty/</t>
        </is>
      </c>
    </row>
    <row r="4" ht="45" customHeight="1" s="91">
      <c r="A4" s="126" t="n">
        <v>1</v>
      </c>
      <c r="B4" s="126" t="inlineStr">
        <is>
          <t>Wharton</t>
        </is>
      </c>
      <c r="C4" s="126" t="inlineStr">
        <is>
          <t>Finance</t>
        </is>
      </c>
      <c r="D4" s="126" t="inlineStr">
        <is>
          <t>Corporate finance, asset pricing, and financial intermediation</t>
        </is>
      </c>
      <c r="E4" s="126" t="n">
        <v>4</v>
      </c>
      <c r="F4" s="126" t="n">
        <v>39</v>
      </c>
      <c r="G4" s="90" t="inlineStr">
        <is>
          <t>https://fnce.wharton.upenn.edu/faculty/</t>
        </is>
      </c>
    </row>
    <row r="5" ht="45" customHeight="1" s="91">
      <c r="A5" s="126" t="n">
        <v>1</v>
      </c>
      <c r="B5" s="126" t="inlineStr">
        <is>
          <t>Wharton</t>
        </is>
      </c>
      <c r="C5" s="126" t="inlineStr">
        <is>
          <t>Legal Studies &amp; Business Ethics</t>
        </is>
      </c>
      <c r="D5" s="126" t="inlineStr">
        <is>
          <t>Business law, ethics, and corporate governance</t>
        </is>
      </c>
      <c r="E5" s="126" t="n">
        <v>4</v>
      </c>
      <c r="F5" s="126" t="n">
        <v>20</v>
      </c>
      <c r="G5" s="90" t="inlineStr">
        <is>
          <t>https://lgst.wharton.upenn.edu/faculty/</t>
        </is>
      </c>
    </row>
    <row r="6" ht="45" customHeight="1" s="91">
      <c r="A6" s="126" t="n">
        <v>1</v>
      </c>
      <c r="B6" s="126" t="inlineStr">
        <is>
          <t>Wharton</t>
        </is>
      </c>
      <c r="C6" s="126" t="inlineStr">
        <is>
          <t>Management</t>
        </is>
      </c>
      <c r="D6" s="126" t="inlineStr">
        <is>
          <t>Organizational behavior, strategic management, and entrepreneurship</t>
        </is>
      </c>
      <c r="E6" s="126" t="n">
        <v>4</v>
      </c>
      <c r="F6" s="126" t="n">
        <v>47</v>
      </c>
      <c r="G6" s="90" t="inlineStr">
        <is>
          <t>https://mgmt.wharton.upenn.edu/faculty/</t>
        </is>
      </c>
    </row>
    <row r="7" ht="45" customHeight="1" s="91">
      <c r="A7" s="126" t="n">
        <v>1</v>
      </c>
      <c r="B7" s="126" t="inlineStr">
        <is>
          <t>Wharton</t>
        </is>
      </c>
      <c r="C7" s="126" t="inlineStr">
        <is>
          <t>Marketing</t>
        </is>
      </c>
      <c r="D7" s="126" t="inlineStr">
        <is>
          <t>Consumer behavior, quantitative marketing, and digital marketing</t>
        </is>
      </c>
      <c r="E7" s="126" t="n">
        <v>4</v>
      </c>
      <c r="F7" s="126" t="n">
        <v>27</v>
      </c>
      <c r="G7" s="90" t="inlineStr">
        <is>
          <t>https://marketing.wharton.upenn.edu/faculty/</t>
        </is>
      </c>
    </row>
    <row r="8" ht="45" customHeight="1" s="91">
      <c r="A8" s="126" t="n">
        <v>1</v>
      </c>
      <c r="B8" s="126" t="inlineStr">
        <is>
          <t>Wharton</t>
        </is>
      </c>
      <c r="C8" s="126" t="inlineStr">
        <is>
          <t>Operations, Information and Decisions (OID)</t>
        </is>
      </c>
      <c r="D8" s="126" t="inlineStr">
        <is>
          <t>Operations management, information systems, and decision sciences</t>
        </is>
      </c>
      <c r="E8" s="126" t="n">
        <v>4</v>
      </c>
      <c r="F8" s="126" t="n">
        <v>30</v>
      </c>
      <c r="G8" s="90" t="inlineStr">
        <is>
          <t>https://oid.wharton.upenn.edu/</t>
        </is>
      </c>
    </row>
    <row r="9" ht="45" customHeight="1" s="91">
      <c r="A9" s="126" t="n">
        <v>1</v>
      </c>
      <c r="B9" s="126" t="inlineStr">
        <is>
          <t>Wharton</t>
        </is>
      </c>
      <c r="C9" s="126" t="inlineStr">
        <is>
          <t>Real Estate</t>
        </is>
      </c>
      <c r="D9" s="126" t="inlineStr">
        <is>
          <t>Real estate finance, urban economics, and housing markets</t>
        </is>
      </c>
      <c r="E9" s="126" t="n">
        <v>4</v>
      </c>
      <c r="F9" s="126" t="n">
        <v>10</v>
      </c>
      <c r="G9" s="90" t="inlineStr">
        <is>
          <t>https://real-estate.wharton.upenn.edu/faculty/</t>
        </is>
      </c>
    </row>
    <row r="10" ht="45" customHeight="1" s="91">
      <c r="A10" s="126" t="n">
        <v>1</v>
      </c>
      <c r="B10" s="126" t="inlineStr">
        <is>
          <t>Wharton</t>
        </is>
      </c>
      <c r="C10" s="126" t="inlineStr">
        <is>
          <t>Statistics and Data Science</t>
        </is>
      </c>
      <c r="D10" s="126" t="inlineStr">
        <is>
          <t>Statistical methodology, machine learning, and causal inference</t>
        </is>
      </c>
      <c r="E10" s="126" t="n">
        <v>4</v>
      </c>
      <c r="F10" s="126" t="n">
        <v>23</v>
      </c>
      <c r="G10" s="90" t="inlineStr">
        <is>
          <t>https://statistics.wharton.upenn.edu/</t>
        </is>
      </c>
    </row>
    <row r="11" ht="45" customHeight="1" s="91">
      <c r="A11" s="126" t="n">
        <v>1</v>
      </c>
      <c r="B11" s="126" t="inlineStr">
        <is>
          <t>Wharton</t>
        </is>
      </c>
      <c r="C11" s="126" t="inlineStr">
        <is>
          <t>Health Care Management</t>
        </is>
      </c>
      <c r="D11" s="126" t="inlineStr">
        <is>
          <t>Health care delivery, policy, and management innovation</t>
        </is>
      </c>
      <c r="E11" s="126" t="n">
        <v>4</v>
      </c>
      <c r="F11" s="126" t="n">
        <v>10</v>
      </c>
      <c r="G11" s="90" t="inlineStr">
        <is>
          <t>https://hcmg.wharton.upenn.edu/faculty/</t>
        </is>
      </c>
    </row>
    <row r="12" ht="45" customHeight="1" s="91">
      <c r="A12" s="126" t="n">
        <v>2</v>
      </c>
      <c r="B12" s="126" t="inlineStr">
        <is>
          <t>Harvard HBS</t>
        </is>
      </c>
      <c r="C12" s="126" t="inlineStr">
        <is>
          <t>Accounting &amp; Management</t>
        </is>
      </c>
      <c r="D12" s="126" t="inlineStr">
        <is>
          <t>Financial reporting, management control, and accounting research</t>
        </is>
      </c>
      <c r="E12" s="126" t="n">
        <v>4</v>
      </c>
      <c r="F12" s="126" t="n">
        <v>13</v>
      </c>
      <c r="G12" s="90" t="inlineStr">
        <is>
          <t>https://www.hbs.edu/faculty/units/am/Pages/faculty.aspx</t>
        </is>
      </c>
    </row>
    <row r="13" ht="45" customHeight="1" s="91">
      <c r="A13" s="126" t="n">
        <v>2</v>
      </c>
      <c r="B13" s="126" t="inlineStr">
        <is>
          <t>Harvard HBS</t>
        </is>
      </c>
      <c r="C13" s="126" t="inlineStr">
        <is>
          <t>Business, Government &amp; the International Economy</t>
        </is>
      </c>
      <c r="D13" s="126" t="inlineStr">
        <is>
          <t>Political economy, international trade, and economic policy</t>
        </is>
      </c>
      <c r="E13" s="126" t="n">
        <v>4</v>
      </c>
      <c r="F13" s="126" t="n">
        <v>18</v>
      </c>
      <c r="G13" s="90" t="inlineStr">
        <is>
          <t>https://www.hbs.edu/faculty/units/bgie/Pages/faculty.aspx</t>
        </is>
      </c>
    </row>
    <row r="14" ht="45" customHeight="1" s="91">
      <c r="A14" s="126" t="n">
        <v>2</v>
      </c>
      <c r="B14" s="126" t="inlineStr">
        <is>
          <t>Harvard HBS</t>
        </is>
      </c>
      <c r="C14" s="126" t="inlineStr">
        <is>
          <t>Entrepreneurial Management</t>
        </is>
      </c>
      <c r="D14" s="126" t="inlineStr">
        <is>
          <t>Venture creation, growth, and entrepreneurial ecosystems</t>
        </is>
      </c>
      <c r="E14" s="126" t="n">
        <v>4</v>
      </c>
      <c r="F14" s="126" t="n">
        <v>26</v>
      </c>
      <c r="G14" s="90" t="inlineStr">
        <is>
          <t>https://www.hbs.edu/faculty/units/em/Pages/faculty.aspx</t>
        </is>
      </c>
    </row>
    <row r="15" ht="45" customHeight="1" s="91">
      <c r="A15" s="126" t="n">
        <v>2</v>
      </c>
      <c r="B15" s="126" t="inlineStr">
        <is>
          <t>Harvard HBS</t>
        </is>
      </c>
      <c r="C15" s="126" t="inlineStr">
        <is>
          <t>Finance</t>
        </is>
      </c>
      <c r="D15" s="126" t="inlineStr">
        <is>
          <t>Asset pricing, corporate finance, and behavioral finance</t>
        </is>
      </c>
      <c r="E15" s="126" t="n">
        <v>4</v>
      </c>
      <c r="F15" s="126" t="n">
        <v>27</v>
      </c>
      <c r="G15" s="90" t="inlineStr">
        <is>
          <t>https://www.hbs.edu/faculty/units/finance/Pages/faculty.aspx</t>
        </is>
      </c>
    </row>
    <row r="16" ht="45" customHeight="1" s="91">
      <c r="A16" s="126" t="n">
        <v>2</v>
      </c>
      <c r="B16" s="126" t="inlineStr">
        <is>
          <t>Harvard HBS</t>
        </is>
      </c>
      <c r="C16" s="126" t="inlineStr">
        <is>
          <t>General Management</t>
        </is>
      </c>
      <c r="D16" s="126" t="inlineStr">
        <is>
          <t>Leadership, organizational transformation, and general management practice</t>
        </is>
      </c>
      <c r="E16" s="126" t="n">
        <v>4</v>
      </c>
      <c r="F16" s="126" t="n">
        <v>10</v>
      </c>
      <c r="G16" s="90" t="inlineStr">
        <is>
          <t>https://www.hbs.edu/faculty/units/gm/Pages/faculty.aspx</t>
        </is>
      </c>
    </row>
    <row r="17" ht="45" customHeight="1" s="91">
      <c r="A17" s="126" t="n">
        <v>2</v>
      </c>
      <c r="B17" s="126" t="inlineStr">
        <is>
          <t>Harvard HBS</t>
        </is>
      </c>
      <c r="C17" s="126" t="inlineStr">
        <is>
          <t>Marketing</t>
        </is>
      </c>
      <c r="D17" s="126" t="inlineStr">
        <is>
          <t>Consumer behavior, marketing strategy, and digital marketing</t>
        </is>
      </c>
      <c r="E17" s="126" t="n">
        <v>4</v>
      </c>
      <c r="F17" s="126" t="n">
        <v>15</v>
      </c>
      <c r="G17" s="90" t="inlineStr">
        <is>
          <t>https://www.hbs.edu/faculty/units/marketing/Pages/faculty.aspx</t>
        </is>
      </c>
    </row>
    <row r="18" ht="45" customHeight="1" s="91">
      <c r="A18" s="126" t="n">
        <v>2</v>
      </c>
      <c r="B18" s="126" t="inlineStr">
        <is>
          <t>Harvard HBS</t>
        </is>
      </c>
      <c r="C18" s="126" t="inlineStr">
        <is>
          <t>Negotiation, Organizations &amp; Markets</t>
        </is>
      </c>
      <c r="D18" s="126" t="inlineStr">
        <is>
          <t>Negotiation, organizational design, and market mechanisms</t>
        </is>
      </c>
      <c r="E18" s="126" t="n">
        <v>4</v>
      </c>
      <c r="F18" s="126" t="n">
        <v>21</v>
      </c>
      <c r="G18" s="90" t="inlineStr">
        <is>
          <t>https://www.hbs.edu/faculty/units/nom/Pages/faculty.aspx</t>
        </is>
      </c>
    </row>
    <row r="19" ht="45" customHeight="1" s="91">
      <c r="A19" s="126" t="n">
        <v>2</v>
      </c>
      <c r="B19" s="126" t="inlineStr">
        <is>
          <t>Harvard HBS</t>
        </is>
      </c>
      <c r="C19" s="126" t="inlineStr">
        <is>
          <t>Organizational Behavior</t>
        </is>
      </c>
      <c r="D19" s="126" t="inlineStr">
        <is>
          <t>Individual and group behavior, motivation, and organizational culture</t>
        </is>
      </c>
      <c r="E19" s="126" t="n">
        <v>4</v>
      </c>
      <c r="F19" s="126" t="n">
        <v>19</v>
      </c>
      <c r="G19" s="90" t="inlineStr">
        <is>
          <t>https://www.hbs.edu/faculty/units/ob/Pages/faculty.aspx</t>
        </is>
      </c>
    </row>
    <row r="20" ht="45" customHeight="1" s="91">
      <c r="A20" s="126" t="n">
        <v>2</v>
      </c>
      <c r="B20" s="126" t="inlineStr">
        <is>
          <t>Harvard HBS</t>
        </is>
      </c>
      <c r="C20" s="126" t="inlineStr">
        <is>
          <t>Strategy</t>
        </is>
      </c>
      <c r="D20" s="126" t="inlineStr">
        <is>
          <t>Competitive strategy, industry dynamics, and strategic innovation</t>
        </is>
      </c>
      <c r="E20" s="126" t="n">
        <v>4</v>
      </c>
      <c r="F20" s="126" t="n">
        <v>19</v>
      </c>
      <c r="G20" s="90" t="inlineStr">
        <is>
          <t>https://www.hbs.edu/faculty/units/strategy/Pages/faculty.aspx</t>
        </is>
      </c>
    </row>
    <row r="21" ht="45" customHeight="1" s="91">
      <c r="A21" s="126" t="n">
        <v>2</v>
      </c>
      <c r="B21" s="126" t="inlineStr">
        <is>
          <t>Harvard HBS</t>
        </is>
      </c>
      <c r="C21" s="126" t="inlineStr">
        <is>
          <t>Technology &amp; Operations Management (TOM)</t>
        </is>
      </c>
      <c r="D21" s="126" t="inlineStr">
        <is>
          <t>Operations strategy, technology management, and supply chain innovation</t>
        </is>
      </c>
      <c r="E21" s="126" t="n">
        <v>4</v>
      </c>
      <c r="F21" s="126" t="n">
        <v>22</v>
      </c>
      <c r="G21" s="90" t="inlineStr">
        <is>
          <t>https://www.hbs.edu/faculty/units/tom/Pages/faculty.aspx</t>
        </is>
      </c>
    </row>
    <row r="22" ht="45" customHeight="1" s="91">
      <c r="A22" s="127" t="n">
        <v>3</v>
      </c>
      <c r="B22" s="127" t="inlineStr">
        <is>
          <t>Chicago Booth</t>
        </is>
      </c>
      <c r="C22" s="127" t="inlineStr">
        <is>
          <t>Accounting</t>
        </is>
      </c>
      <c r="D22" s="127" t="inlineStr">
        <is>
          <t>Advancing knowledge in financial reporting, auditing, taxation, and accounting information systems through rigorous research and teaching.</t>
        </is>
      </c>
      <c r="E22" s="127" t="n">
        <v>4</v>
      </c>
      <c r="F22" s="127" t="n">
        <v>21</v>
      </c>
      <c r="G22" s="90" t="inlineStr">
        <is>
          <t>https://chicagobooth.edu/faculty/academic-areas</t>
        </is>
      </c>
    </row>
    <row r="23" ht="45" customHeight="1" s="91">
      <c r="A23" s="128" t="n">
        <v>3</v>
      </c>
      <c r="B23" s="128" t="inlineStr">
        <is>
          <t>Chicago Booth</t>
        </is>
      </c>
      <c r="C23" s="128" t="inlineStr">
        <is>
          <t>Applied AI</t>
        </is>
      </c>
      <c r="D23" s="128" t="inlineStr">
        <is>
          <t>Contributing to the advancement of business knowledge through rigorous research and impactful teaching.</t>
        </is>
      </c>
      <c r="E23" s="128" t="n">
        <v>4</v>
      </c>
      <c r="F23" s="128" t="n">
        <v>1</v>
      </c>
      <c r="G23" s="90" t="inlineStr">
        <is>
          <t>https://chicagobooth.edu/faculty/academic-areas</t>
        </is>
      </c>
    </row>
    <row r="24" ht="45" customHeight="1" s="91">
      <c r="A24" s="127" t="n">
        <v>3</v>
      </c>
      <c r="B24" s="127" t="inlineStr">
        <is>
          <t>Chicago Booth</t>
        </is>
      </c>
      <c r="C24" s="127" t="inlineStr">
        <is>
          <t>Behavioral Science</t>
        </is>
      </c>
      <c r="D24" s="127" t="inlineStr">
        <is>
          <t>Investigating human behavior in organizations, including motivation, group dynamics, leadership, and organizational culture.</t>
        </is>
      </c>
      <c r="E24" s="127" t="n">
        <v>4</v>
      </c>
      <c r="F24" s="127" t="n">
        <v>18</v>
      </c>
      <c r="G24" s="90" t="inlineStr">
        <is>
          <t>https://chicagobooth.edu/faculty/academic-areas</t>
        </is>
      </c>
    </row>
    <row r="25" ht="45" customHeight="1" s="91">
      <c r="A25" s="128" t="n">
        <v>3</v>
      </c>
      <c r="B25" s="128" t="inlineStr">
        <is>
          <t>Chicago Booth</t>
        </is>
      </c>
      <c r="C25" s="128" t="inlineStr">
        <is>
          <t>Econometrics &amp; Statistics</t>
        </is>
      </c>
      <c r="D25" s="128" t="inlineStr">
        <is>
          <t>Contributing to the advancement of business knowledge through rigorous research and impactful teaching.</t>
        </is>
      </c>
      <c r="E25" s="128" t="n">
        <v>4</v>
      </c>
      <c r="F25" s="128" t="n">
        <v>14</v>
      </c>
      <c r="G25" s="90" t="inlineStr">
        <is>
          <t>https://chicagobooth.edu/faculty/academic-areas</t>
        </is>
      </c>
    </row>
    <row r="26" ht="45" customHeight="1" s="91">
      <c r="A26" s="127" t="n">
        <v>3</v>
      </c>
      <c r="B26" s="127" t="inlineStr">
        <is>
          <t>Chicago Booth</t>
        </is>
      </c>
      <c r="C26" s="127" t="inlineStr">
        <is>
          <t>Entrepreneurship</t>
        </is>
      </c>
      <c r="D26" s="127" t="inlineStr">
        <is>
          <t>Contributing to the advancement of business knowledge through rigorous research and impactful teaching.</t>
        </is>
      </c>
      <c r="E26" s="127" t="n">
        <v>4</v>
      </c>
      <c r="F26" s="127" t="n">
        <v>4</v>
      </c>
      <c r="G26" s="90" t="inlineStr">
        <is>
          <t>https://chicagobooth.edu/faculty/academic-areas</t>
        </is>
      </c>
    </row>
    <row r="27" ht="45" customHeight="1" s="91">
      <c r="A27" s="128" t="n">
        <v>3</v>
      </c>
      <c r="B27" s="128" t="inlineStr">
        <is>
          <t>Chicago Booth</t>
        </is>
      </c>
      <c r="C27" s="128" t="inlineStr">
        <is>
          <t>Finance</t>
        </is>
      </c>
      <c r="D27" s="128" t="inlineStr">
        <is>
          <t>Conducting cutting-edge research in financial markets, corporate finance, and asset pricing to inform practice and policy.</t>
        </is>
      </c>
      <c r="E27" s="128" t="n">
        <v>4</v>
      </c>
      <c r="F27" s="128" t="n">
        <v>28</v>
      </c>
      <c r="G27" s="90" t="inlineStr">
        <is>
          <t>https://chicagobooth.edu/faculty/academic-areas</t>
        </is>
      </c>
    </row>
    <row r="28" ht="45" customHeight="1" s="91">
      <c r="A28" s="127" t="n">
        <v>3</v>
      </c>
      <c r="B28" s="127" t="inlineStr">
        <is>
          <t>Chicago Booth</t>
        </is>
      </c>
      <c r="C28" s="127" t="inlineStr">
        <is>
          <t>Macroeconomics</t>
        </is>
      </c>
      <c r="D28" s="127" t="inlineStr">
        <is>
          <t>Applying economic theory and empirical methods to understand business environments, policy impacts, and market behavior.</t>
        </is>
      </c>
      <c r="E28" s="127" t="n">
        <v>4</v>
      </c>
      <c r="F28" s="127" t="n">
        <v>14</v>
      </c>
      <c r="G28" s="90" t="inlineStr">
        <is>
          <t>https://chicagobooth.edu/faculty/academic-areas</t>
        </is>
      </c>
    </row>
    <row r="29" ht="45" customHeight="1" s="91">
      <c r="A29" s="128" t="n">
        <v>3</v>
      </c>
      <c r="B29" s="128" t="inlineStr">
        <is>
          <t>Chicago Booth</t>
        </is>
      </c>
      <c r="C29" s="128" t="inlineStr">
        <is>
          <t>Marketing</t>
        </is>
      </c>
      <c r="D29" s="128" t="inlineStr">
        <is>
          <t>Generating insights into consumer behavior, market dynamics, and marketing strategy through innovative research methodologies.</t>
        </is>
      </c>
      <c r="E29" s="128" t="n">
        <v>4</v>
      </c>
      <c r="F29" s="128" t="n">
        <v>17</v>
      </c>
      <c r="G29" s="90" t="inlineStr">
        <is>
          <t>https://chicagobooth.edu/faculty/academic-areas</t>
        </is>
      </c>
    </row>
    <row r="30" ht="45" customHeight="1" s="91">
      <c r="A30" s="127" t="n">
        <v>3</v>
      </c>
      <c r="B30" s="127" t="inlineStr">
        <is>
          <t>Chicago Booth</t>
        </is>
      </c>
      <c r="C30" s="127" t="inlineStr">
        <is>
          <t>Microeconomics</t>
        </is>
      </c>
      <c r="D30" s="127" t="inlineStr">
        <is>
          <t>Applying economic theory and empirical methods to understand business environments, policy impacts, and market behavior.</t>
        </is>
      </c>
      <c r="E30" s="127" t="n">
        <v>4</v>
      </c>
      <c r="F30" s="127" t="n">
        <v>22</v>
      </c>
      <c r="G30" s="90" t="inlineStr">
        <is>
          <t>https://chicagobooth.edu/faculty/academic-areas</t>
        </is>
      </c>
    </row>
    <row r="31" ht="45" customHeight="1" s="91">
      <c r="A31" s="128" t="n">
        <v>3</v>
      </c>
      <c r="B31" s="128" t="inlineStr">
        <is>
          <t>Chicago Booth</t>
        </is>
      </c>
      <c r="C31" s="128" t="inlineStr">
        <is>
          <t>Operations Management</t>
        </is>
      </c>
      <c r="D31" s="128" t="inlineStr">
        <is>
          <t>Optimizing business processes, supply chains, and decision analytics to improve organizational efficiency and effectiveness.</t>
        </is>
      </c>
      <c r="E31" s="128" t="n">
        <v>4</v>
      </c>
      <c r="F31" s="128" t="n">
        <v>12</v>
      </c>
      <c r="G31" s="90" t="inlineStr">
        <is>
          <t>https://www.chicagobooth.edu/faculty/academic-areas/operations-management</t>
        </is>
      </c>
    </row>
    <row r="32" ht="45" customHeight="1" s="91">
      <c r="A32" s="127" t="n">
        <v>3</v>
      </c>
      <c r="B32" s="127" t="inlineStr">
        <is>
          <t>Chicago Booth</t>
        </is>
      </c>
      <c r="C32" s="127" t="inlineStr">
        <is>
          <t>Strategy &amp; Leadership</t>
        </is>
      </c>
      <c r="D32" s="127" t="inlineStr">
        <is>
          <t>Researching competitive dynamics, corporate strategy, and innovation to help firms achieve sustainable advantage.</t>
        </is>
      </c>
      <c r="E32" s="127" t="n">
        <v>4</v>
      </c>
      <c r="F32" s="127" t="n">
        <v>0</v>
      </c>
      <c r="G32" s="90" t="inlineStr">
        <is>
          <t>https://chicagobooth.edu/faculty/academic-areas</t>
        </is>
      </c>
    </row>
    <row r="33" ht="45" customHeight="1" s="91">
      <c r="A33" s="128" t="n">
        <v>4</v>
      </c>
      <c r="B33" s="128" t="inlineStr">
        <is>
          <t>Kellogg</t>
        </is>
      </c>
      <c r="C33" s="128" t="inlineStr">
        <is>
          <t>Accounting Information &amp; Management</t>
        </is>
      </c>
      <c r="D33" s="128" t="inlineStr">
        <is>
          <t>Advancing knowledge in financial reporting, auditing, taxation, and accounting information systems through rigorous research and teaching.</t>
        </is>
      </c>
      <c r="E33" s="128" t="n">
        <v>4</v>
      </c>
      <c r="F33" s="128" t="n">
        <v>11</v>
      </c>
      <c r="G33" s="90" t="inlineStr">
        <is>
          <t>https://kellogg.northwestern.edu/academics-research/academic-departments/</t>
        </is>
      </c>
    </row>
    <row r="34" ht="45" customHeight="1" s="91">
      <c r="A34" s="127" t="n">
        <v>4</v>
      </c>
      <c r="B34" s="127" t="inlineStr">
        <is>
          <t>Kellogg</t>
        </is>
      </c>
      <c r="C34" s="127" t="inlineStr">
        <is>
          <t>Finance</t>
        </is>
      </c>
      <c r="D34" s="127" t="inlineStr">
        <is>
          <t>Conducting cutting-edge research in financial markets, corporate finance, and asset pricing to inform practice and policy.</t>
        </is>
      </c>
      <c r="E34" s="127" t="n">
        <v>4</v>
      </c>
      <c r="F34" s="127" t="n">
        <v>28</v>
      </c>
      <c r="G34" s="90" t="inlineStr">
        <is>
          <t>https://kellogg.northwestern.edu/academics-research/academic-departments/</t>
        </is>
      </c>
    </row>
    <row r="35" ht="45" customHeight="1" s="91">
      <c r="A35" s="128" t="n">
        <v>4</v>
      </c>
      <c r="B35" s="128" t="inlineStr">
        <is>
          <t>Kellogg</t>
        </is>
      </c>
      <c r="C35" s="128" t="inlineStr">
        <is>
          <t>Management &amp; Organizations</t>
        </is>
      </c>
      <c r="D35" s="128" t="inlineStr">
        <is>
          <t>Investigating human behavior in organizations, including motivation, group dynamics, leadership, and organizational culture.</t>
        </is>
      </c>
      <c r="E35" s="128" t="n">
        <v>4</v>
      </c>
      <c r="F35" s="128" t="n">
        <v>25</v>
      </c>
      <c r="G35" s="90" t="inlineStr">
        <is>
          <t>https://kellogg.northwestern.edu/academics-research/academic-departments/</t>
        </is>
      </c>
    </row>
    <row r="36" ht="45" customHeight="1" s="91">
      <c r="A36" s="127" t="n">
        <v>4</v>
      </c>
      <c r="B36" s="127" t="inlineStr">
        <is>
          <t>Kellogg</t>
        </is>
      </c>
      <c r="C36" s="127" t="inlineStr">
        <is>
          <t>Managerial Economics &amp; Decision Sciences (MEDS)</t>
        </is>
      </c>
      <c r="D36" s="127" t="inlineStr">
        <is>
          <t>Applying economic theory and empirical methods to understand business environments, policy impacts, and market behavior.</t>
        </is>
      </c>
      <c r="E36" s="127" t="n">
        <v>4</v>
      </c>
      <c r="F36" s="127" t="n">
        <v>19</v>
      </c>
      <c r="G36" s="90" t="inlineStr">
        <is>
          <t>https://www.kellogg.northwestern.edu/faculty/academics/managerial-economics-decision-sciences.aspx</t>
        </is>
      </c>
    </row>
    <row r="37" ht="45" customHeight="1" s="91">
      <c r="A37" s="128" t="n">
        <v>4</v>
      </c>
      <c r="B37" s="128" t="inlineStr">
        <is>
          <t>Kellogg</t>
        </is>
      </c>
      <c r="C37" s="128" t="inlineStr">
        <is>
          <t>Marketing</t>
        </is>
      </c>
      <c r="D37" s="128" t="inlineStr">
        <is>
          <t>Generating insights into consumer behavior, market dynamics, and marketing strategy through innovative research methodologies.</t>
        </is>
      </c>
      <c r="E37" s="128" t="n">
        <v>4</v>
      </c>
      <c r="F37" s="128" t="n">
        <v>23</v>
      </c>
      <c r="G37" s="90" t="inlineStr">
        <is>
          <t>https://kellogg.northwestern.edu/academics-research/academic-departments/</t>
        </is>
      </c>
    </row>
    <row r="38" ht="45" customHeight="1" s="91">
      <c r="A38" s="127" t="n">
        <v>4</v>
      </c>
      <c r="B38" s="127" t="inlineStr">
        <is>
          <t>Kellogg</t>
        </is>
      </c>
      <c r="C38" s="127" t="inlineStr">
        <is>
          <t>Operations</t>
        </is>
      </c>
      <c r="D38" s="127" t="inlineStr">
        <is>
          <t>Optimizing business processes, supply chains, and decision analytics to improve organizational efficiency and effectiveness.</t>
        </is>
      </c>
      <c r="E38" s="127" t="n">
        <v>4</v>
      </c>
      <c r="F38" s="127" t="n">
        <v>14</v>
      </c>
      <c r="G38" s="90" t="inlineStr">
        <is>
          <t>https://www.kellogg.northwestern.edu/faculty/academics/operations.aspx</t>
        </is>
      </c>
    </row>
    <row r="39" ht="45" customHeight="1" s="91">
      <c r="A39" s="128" t="n">
        <v>4</v>
      </c>
      <c r="B39" s="128" t="inlineStr">
        <is>
          <t>Kellogg</t>
        </is>
      </c>
      <c r="C39" s="128" t="inlineStr">
        <is>
          <t>Strategy</t>
        </is>
      </c>
      <c r="D39" s="128" t="inlineStr">
        <is>
          <t>Researching competitive dynamics, corporate strategy, and innovation to help firms achieve sustainable advantage.</t>
        </is>
      </c>
      <c r="E39" s="128" t="n">
        <v>4</v>
      </c>
      <c r="F39" s="128" t="n">
        <v>25</v>
      </c>
      <c r="G39" s="90" t="inlineStr">
        <is>
          <t>https://kellogg.northwestern.edu/academics-research/academic-departments/</t>
        </is>
      </c>
    </row>
    <row r="40" ht="45" customHeight="1" s="91">
      <c r="A40" s="127" t="n">
        <v>5</v>
      </c>
      <c r="B40" s="127" t="inlineStr">
        <is>
          <t>MIT Sloan</t>
        </is>
      </c>
      <c r="C40" s="127" t="inlineStr">
        <is>
          <t>Accounting</t>
        </is>
      </c>
      <c r="D40" s="127" t="inlineStr">
        <is>
          <t>Advancing knowledge in financial reporting, auditing, taxation, and accounting information systems through rigorous research and teaching.</t>
        </is>
      </c>
      <c r="E40" s="127" t="n">
        <v>4</v>
      </c>
      <c r="F40" s="127" t="n">
        <v>9</v>
      </c>
      <c r="G40" s="90" t="inlineStr">
        <is>
          <t>https://mitsloan.mit.edu/faculty/academic-groups</t>
        </is>
      </c>
    </row>
    <row r="41" ht="45" customHeight="1" s="91">
      <c r="A41" s="128" t="n">
        <v>5</v>
      </c>
      <c r="B41" s="128" t="inlineStr">
        <is>
          <t>MIT Sloan</t>
        </is>
      </c>
      <c r="C41" s="128" t="inlineStr">
        <is>
          <t>Applied Economics</t>
        </is>
      </c>
      <c r="D41" s="128" t="inlineStr">
        <is>
          <t>Applying economic theory and empirical methods to understand business environments, policy impacts, and market behavior.</t>
        </is>
      </c>
      <c r="E41" s="128" t="n">
        <v>4</v>
      </c>
      <c r="F41" s="128" t="n">
        <v>15</v>
      </c>
      <c r="G41" s="90" t="inlineStr">
        <is>
          <t>https://mitsloan.mit.edu/faculty/academic-groups</t>
        </is>
      </c>
    </row>
    <row r="42" ht="45" customHeight="1" s="91">
      <c r="A42" s="127" t="n">
        <v>5</v>
      </c>
      <c r="B42" s="127" t="inlineStr">
        <is>
          <t>MIT Sloan</t>
        </is>
      </c>
      <c r="C42" s="127" t="inlineStr">
        <is>
          <t>Finance</t>
        </is>
      </c>
      <c r="D42" s="127" t="inlineStr">
        <is>
          <t>Conducting cutting-edge research in financial markets, corporate finance, and asset pricing to inform practice and policy.</t>
        </is>
      </c>
      <c r="E42" s="127" t="n">
        <v>4</v>
      </c>
      <c r="F42" s="127" t="n">
        <v>21</v>
      </c>
      <c r="G42" s="90" t="inlineStr">
        <is>
          <t>https://mitsloan.mit.edu/faculty/academic-groups</t>
        </is>
      </c>
    </row>
    <row r="43" ht="45" customHeight="1" s="91">
      <c r="A43" s="128" t="n">
        <v>5</v>
      </c>
      <c r="B43" s="128" t="inlineStr">
        <is>
          <t>MIT Sloan</t>
        </is>
      </c>
      <c r="C43" s="128" t="inlineStr">
        <is>
          <t>Global Economics &amp; Management</t>
        </is>
      </c>
      <c r="D43" s="128" t="inlineStr">
        <is>
          <t>Applying economic theory and empirical methods to understand business environments, policy impacts, and market behavior.</t>
        </is>
      </c>
      <c r="E43" s="128" t="n">
        <v>4</v>
      </c>
      <c r="F43" s="128" t="n">
        <v>5</v>
      </c>
      <c r="G43" s="90" t="inlineStr">
        <is>
          <t>https://mitsloan.mit.edu/faculty/academic-groups</t>
        </is>
      </c>
    </row>
    <row r="44" ht="45" customHeight="1" s="91">
      <c r="A44" s="127" t="n">
        <v>5</v>
      </c>
      <c r="B44" s="127" t="inlineStr">
        <is>
          <t>MIT Sloan</t>
        </is>
      </c>
      <c r="C44" s="127" t="inlineStr">
        <is>
          <t>Information Technology</t>
        </is>
      </c>
      <c r="D44" s="127" t="inlineStr">
        <is>
          <t>Exploring the intersection of technology, data analytics, and business to drive digital transformation and innovation.</t>
        </is>
      </c>
      <c r="E44" s="127" t="n">
        <v>4</v>
      </c>
      <c r="F44" s="127" t="n">
        <v>9</v>
      </c>
      <c r="G44" s="90" t="inlineStr">
        <is>
          <t>https://mitsloan.mit.edu/faculty/academic-groups/information-technology</t>
        </is>
      </c>
    </row>
    <row r="45" ht="45" customHeight="1" s="91">
      <c r="A45" s="128" t="n">
        <v>5</v>
      </c>
      <c r="B45" s="128" t="inlineStr">
        <is>
          <t>MIT Sloan</t>
        </is>
      </c>
      <c r="C45" s="128" t="inlineStr">
        <is>
          <t>Marketing</t>
        </is>
      </c>
      <c r="D45" s="128" t="inlineStr">
        <is>
          <t>Generating insights into consumer behavior, market dynamics, and marketing strategy through innovative research methodologies.</t>
        </is>
      </c>
      <c r="E45" s="128" t="n">
        <v>4</v>
      </c>
      <c r="F45" s="128" t="n">
        <v>9</v>
      </c>
      <c r="G45" s="90" t="inlineStr">
        <is>
          <t>https://mitsloan.mit.edu/faculty/academic-groups</t>
        </is>
      </c>
    </row>
    <row r="46" ht="45" customHeight="1" s="91">
      <c r="A46" s="127" t="n">
        <v>5</v>
      </c>
      <c r="B46" s="127" t="inlineStr">
        <is>
          <t>MIT Sloan</t>
        </is>
      </c>
      <c r="C46" s="127" t="inlineStr">
        <is>
          <t>Operations Management</t>
        </is>
      </c>
      <c r="D46" s="127" t="inlineStr">
        <is>
          <t>Optimizing business processes, supply chains, and decision analytics to improve organizational efficiency and effectiveness.</t>
        </is>
      </c>
      <c r="E46" s="127" t="n">
        <v>4</v>
      </c>
      <c r="F46" s="127" t="n">
        <v>12</v>
      </c>
      <c r="G46" s="90" t="inlineStr">
        <is>
          <t>https://mitsloan.mit.edu/faculty/academic-groups/operations-management</t>
        </is>
      </c>
    </row>
    <row r="47" ht="45" customHeight="1" s="91">
      <c r="A47" s="128" t="n">
        <v>5</v>
      </c>
      <c r="B47" s="128" t="inlineStr">
        <is>
          <t>MIT Sloan</t>
        </is>
      </c>
      <c r="C47" s="128" t="inlineStr">
        <is>
          <t>Operations Research &amp; Statistics</t>
        </is>
      </c>
      <c r="D47" s="128" t="inlineStr">
        <is>
          <t>Optimizing business processes, supply chains, and decision analytics to improve organizational efficiency and effectiveness.</t>
        </is>
      </c>
      <c r="E47" s="128" t="n">
        <v>4</v>
      </c>
      <c r="F47" s="128" t="n">
        <v>14</v>
      </c>
      <c r="G47" s="90" t="inlineStr">
        <is>
          <t>https://mitsloan.mit.edu/faculty/academic-groups/operations-research-statistics</t>
        </is>
      </c>
    </row>
    <row r="48" ht="45" customHeight="1" s="91">
      <c r="A48" s="127" t="n">
        <v>5</v>
      </c>
      <c r="B48" s="127" t="inlineStr">
        <is>
          <t>MIT Sloan</t>
        </is>
      </c>
      <c r="C48" s="127" t="inlineStr">
        <is>
          <t>System Dynamics</t>
        </is>
      </c>
      <c r="D48" s="127" t="inlineStr">
        <is>
          <t>Contributing to the advancement of business knowledge through rigorous research and impactful teaching.</t>
        </is>
      </c>
      <c r="E48" s="127" t="n">
        <v>4</v>
      </c>
      <c r="F48" s="127" t="n">
        <v>5</v>
      </c>
      <c r="G48" s="90" t="inlineStr">
        <is>
          <t>https://mitsloan.mit.edu/faculty/academic-groups</t>
        </is>
      </c>
    </row>
    <row r="49" ht="45" customHeight="1" s="91">
      <c r="A49" s="128" t="n">
        <v>5</v>
      </c>
      <c r="B49" s="128" t="inlineStr">
        <is>
          <t>MIT Sloan</t>
        </is>
      </c>
      <c r="C49" s="128" t="inlineStr">
        <is>
          <t>Technological Innovation, Entrepreneurship &amp; Strategic Management</t>
        </is>
      </c>
      <c r="D49" s="128" t="inlineStr">
        <is>
          <t>Researching competitive dynamics, corporate strategy, and innovation to help firms achieve sustainable advantage.</t>
        </is>
      </c>
      <c r="E49" s="128" t="n">
        <v>4</v>
      </c>
      <c r="F49" s="128" t="n">
        <v>11</v>
      </c>
      <c r="G49" s="90" t="inlineStr">
        <is>
          <t>https://mitsloan.mit.edu/faculty/academic-groups</t>
        </is>
      </c>
    </row>
    <row r="50" ht="45" customHeight="1" s="91">
      <c r="A50" s="127" t="n">
        <v>5</v>
      </c>
      <c r="B50" s="127" t="inlineStr">
        <is>
          <t>MIT Sloan</t>
        </is>
      </c>
      <c r="C50" s="127" t="inlineStr">
        <is>
          <t>Work &amp; Organization Studies</t>
        </is>
      </c>
      <c r="D50" s="127" t="inlineStr">
        <is>
          <t>Investigating human behavior in organizations, including motivation, group dynamics, leadership, and organizational culture.</t>
        </is>
      </c>
      <c r="E50" s="127" t="n">
        <v>4</v>
      </c>
      <c r="F50" s="127" t="n">
        <v>15</v>
      </c>
      <c r="G50" s="90" t="inlineStr">
        <is>
          <t>https://mitsloan.mit.edu/faculty/academic-groups</t>
        </is>
      </c>
    </row>
    <row r="51" ht="45" customHeight="1" s="91">
      <c r="A51" s="128" t="n">
        <v>6</v>
      </c>
      <c r="B51" s="128" t="inlineStr">
        <is>
          <t>Stanford GSB</t>
        </is>
      </c>
      <c r="C51" s="128" t="inlineStr">
        <is>
          <t>Accounting</t>
        </is>
      </c>
      <c r="D51" s="128" t="inlineStr">
        <is>
          <t>Advancing knowledge in financial reporting, auditing, taxation, and accounting information systems through rigorous research and teaching.</t>
        </is>
      </c>
      <c r="E51" s="128" t="n">
        <v>4</v>
      </c>
      <c r="F51" s="128" t="n">
        <v>15</v>
      </c>
      <c r="G51" s="90" t="inlineStr">
        <is>
          <t>https://gsb.stanford.edu/faculty-research/faculty/academic-areas</t>
        </is>
      </c>
    </row>
    <row r="52" ht="45" customHeight="1" s="91">
      <c r="A52" s="127" t="n">
        <v>6</v>
      </c>
      <c r="B52" s="127" t="inlineStr">
        <is>
          <t>Stanford GSB</t>
        </is>
      </c>
      <c r="C52" s="127" t="inlineStr">
        <is>
          <t>Economic Analysis &amp; Policy</t>
        </is>
      </c>
      <c r="D52" s="127" t="inlineStr">
        <is>
          <t>Contributing to the advancement of business knowledge through rigorous research and impactful teaching.</t>
        </is>
      </c>
      <c r="E52" s="127" t="n">
        <v>4</v>
      </c>
      <c r="F52" s="127" t="n">
        <v>25</v>
      </c>
      <c r="G52" s="90" t="inlineStr">
        <is>
          <t>https://gsb.stanford.edu/faculty-research/faculty/academic-areas</t>
        </is>
      </c>
    </row>
    <row r="53" ht="45" customHeight="1" s="91">
      <c r="A53" s="128" t="n">
        <v>6</v>
      </c>
      <c r="B53" s="128" t="inlineStr">
        <is>
          <t>Stanford GSB</t>
        </is>
      </c>
      <c r="C53" s="128" t="inlineStr">
        <is>
          <t>Finance</t>
        </is>
      </c>
      <c r="D53" s="128" t="inlineStr">
        <is>
          <t>Conducting cutting-edge research in financial markets, corporate finance, and asset pricing to inform practice and policy.</t>
        </is>
      </c>
      <c r="E53" s="128" t="n">
        <v>4</v>
      </c>
      <c r="F53" s="128" t="n">
        <v>22</v>
      </c>
      <c r="G53" s="90" t="inlineStr">
        <is>
          <t>https://gsb.stanford.edu/faculty-research/faculty/academic-areas</t>
        </is>
      </c>
    </row>
    <row r="54" ht="45" customHeight="1" s="91">
      <c r="A54" s="127" t="n">
        <v>6</v>
      </c>
      <c r="B54" s="127" t="inlineStr">
        <is>
          <t>Stanford GSB</t>
        </is>
      </c>
      <c r="C54" s="127" t="inlineStr">
        <is>
          <t>Marketing</t>
        </is>
      </c>
      <c r="D54" s="127" t="inlineStr">
        <is>
          <t>Generating insights into consumer behavior, market dynamics, and marketing strategy through innovative research methodologies.</t>
        </is>
      </c>
      <c r="E54" s="127" t="n">
        <v>4</v>
      </c>
      <c r="F54" s="127" t="n">
        <v>15</v>
      </c>
      <c r="G54" s="90" t="inlineStr">
        <is>
          <t>https://gsb.stanford.edu/faculty-research/faculty/academic-areas</t>
        </is>
      </c>
    </row>
    <row r="55" ht="45" customHeight="1" s="91">
      <c r="A55" s="128" t="n">
        <v>6</v>
      </c>
      <c r="B55" s="128" t="inlineStr">
        <is>
          <t>Stanford GSB</t>
        </is>
      </c>
      <c r="C55" s="128" t="inlineStr">
        <is>
          <t>Operations, Information &amp; Technology</t>
        </is>
      </c>
      <c r="D55" s="128" t="inlineStr">
        <is>
          <t>Optimizing business processes, supply chains, and decision analytics to improve organizational efficiency and effectiveness.</t>
        </is>
      </c>
      <c r="E55" s="128" t="n">
        <v>4</v>
      </c>
      <c r="F55" s="128" t="n">
        <v>12</v>
      </c>
      <c r="G55" s="90" t="inlineStr">
        <is>
          <t>https://www.gsb.stanford.edu/faculty-research/faculty/academic-areas/operations-information-technology</t>
        </is>
      </c>
    </row>
    <row r="56" ht="45" customHeight="1" s="91">
      <c r="A56" s="127" t="n">
        <v>6</v>
      </c>
      <c r="B56" s="127" t="inlineStr">
        <is>
          <t>Stanford GSB</t>
        </is>
      </c>
      <c r="C56" s="127" t="inlineStr">
        <is>
          <t>Organizational Behavior</t>
        </is>
      </c>
      <c r="D56" s="127" t="inlineStr">
        <is>
          <t>Investigating human behavior in organizations, including motivation, group dynamics, leadership, and organizational culture.</t>
        </is>
      </c>
      <c r="E56" s="127" t="n">
        <v>4</v>
      </c>
      <c r="F56" s="127" t="n">
        <v>23</v>
      </c>
      <c r="G56" s="90" t="inlineStr">
        <is>
          <t>https://gsb.stanford.edu/faculty-research/faculty/academic-areas</t>
        </is>
      </c>
    </row>
    <row r="57" ht="45" customHeight="1" s="91">
      <c r="A57" s="128" t="n">
        <v>6</v>
      </c>
      <c r="B57" s="128" t="inlineStr">
        <is>
          <t>Stanford GSB</t>
        </is>
      </c>
      <c r="C57" s="128" t="inlineStr">
        <is>
          <t>Political Economy</t>
        </is>
      </c>
      <c r="D57" s="128" t="inlineStr">
        <is>
          <t>Contributing to the advancement of business knowledge through rigorous research and impactful teaching.</t>
        </is>
      </c>
      <c r="E57" s="128" t="n">
        <v>4</v>
      </c>
      <c r="F57" s="128" t="n">
        <v>11</v>
      </c>
      <c r="G57" s="90" t="inlineStr">
        <is>
          <t>https://gsb.stanford.edu/faculty-research/faculty/academic-areas</t>
        </is>
      </c>
    </row>
    <row r="58" ht="45" customHeight="1" s="91">
      <c r="A58" s="127" t="n">
        <v>7</v>
      </c>
      <c r="B58" s="127" t="inlineStr">
        <is>
          <t>Columbia CBS</t>
        </is>
      </c>
      <c r="C58" s="127" t="inlineStr">
        <is>
          <t>Accounting</t>
        </is>
      </c>
      <c r="D58" s="127" t="inlineStr">
        <is>
          <t>Advancing knowledge in financial reporting, auditing, taxation, and accounting information systems through rigorous research and teaching.</t>
        </is>
      </c>
      <c r="E58" s="127" t="n">
        <v>4</v>
      </c>
      <c r="F58" s="127" t="n">
        <v>11</v>
      </c>
      <c r="G58" s="90" t="inlineStr">
        <is>
          <t>https://business.columbia.edu/faculty/divisions</t>
        </is>
      </c>
    </row>
    <row r="59" ht="45" customHeight="1" s="91">
      <c r="A59" s="128" t="n">
        <v>7</v>
      </c>
      <c r="B59" s="128" t="inlineStr">
        <is>
          <t>Columbia CBS</t>
        </is>
      </c>
      <c r="C59" s="128" t="inlineStr">
        <is>
          <t>Decision, Risk, and Operations (DRO)</t>
        </is>
      </c>
      <c r="D59" s="128" t="inlineStr">
        <is>
          <t>Optimizing business processes, supply chains, and decision analytics to improve organizational efficiency and effectiveness.</t>
        </is>
      </c>
      <c r="E59" s="128" t="n">
        <v>4</v>
      </c>
      <c r="F59" s="128" t="n">
        <v>17</v>
      </c>
      <c r="G59" s="90" t="inlineStr">
        <is>
          <t>https://business.columbia.edu/faculty/divisions/dro</t>
        </is>
      </c>
    </row>
    <row r="60" ht="45" customHeight="1" s="91">
      <c r="A60" s="127" t="n">
        <v>7</v>
      </c>
      <c r="B60" s="127" t="inlineStr">
        <is>
          <t>Columbia CBS</t>
        </is>
      </c>
      <c r="C60" s="127" t="inlineStr">
        <is>
          <t>Economics</t>
        </is>
      </c>
      <c r="D60" s="127" t="inlineStr">
        <is>
          <t>Applying economic theory and empirical methods to understand business environments, policy impacts, and market behavior.</t>
        </is>
      </c>
      <c r="E60" s="127" t="n">
        <v>4</v>
      </c>
      <c r="F60" s="127" t="n">
        <v>21</v>
      </c>
      <c r="G60" s="90" t="inlineStr">
        <is>
          <t>https://business.columbia.edu/faculty/divisions</t>
        </is>
      </c>
    </row>
    <row r="61" ht="45" customHeight="1" s="91">
      <c r="A61" s="128" t="n">
        <v>7</v>
      </c>
      <c r="B61" s="128" t="inlineStr">
        <is>
          <t>Columbia CBS</t>
        </is>
      </c>
      <c r="C61" s="128" t="inlineStr">
        <is>
          <t>Finance</t>
        </is>
      </c>
      <c r="D61" s="128" t="inlineStr">
        <is>
          <t>Conducting cutting-edge research in financial markets, corporate finance, and asset pricing to inform practice and policy.</t>
        </is>
      </c>
      <c r="E61" s="128" t="n">
        <v>4</v>
      </c>
      <c r="F61" s="128" t="n">
        <v>24</v>
      </c>
      <c r="G61" s="90" t="inlineStr">
        <is>
          <t>https://business.columbia.edu/faculty/divisions</t>
        </is>
      </c>
    </row>
    <row r="62" ht="45" customHeight="1" s="91">
      <c r="A62" s="127" t="n">
        <v>7</v>
      </c>
      <c r="B62" s="127" t="inlineStr">
        <is>
          <t>Columbia CBS</t>
        </is>
      </c>
      <c r="C62" s="127" t="inlineStr">
        <is>
          <t>Management</t>
        </is>
      </c>
      <c r="D62" s="127" t="inlineStr">
        <is>
          <t>Studying organizational dynamics, leadership, and strategic decision-making to develop effective management practices.</t>
        </is>
      </c>
      <c r="E62" s="127" t="n">
        <v>4</v>
      </c>
      <c r="F62" s="127" t="n">
        <v>29</v>
      </c>
      <c r="G62" s="90" t="inlineStr">
        <is>
          <t>https://business.columbia.edu/faculty/divisions</t>
        </is>
      </c>
    </row>
    <row r="63" ht="45" customHeight="1" s="91">
      <c r="A63" s="128" t="n">
        <v>7</v>
      </c>
      <c r="B63" s="128" t="inlineStr">
        <is>
          <t>Columbia CBS</t>
        </is>
      </c>
      <c r="C63" s="128" t="inlineStr">
        <is>
          <t>Marketing</t>
        </is>
      </c>
      <c r="D63" s="128" t="inlineStr">
        <is>
          <t>Generating insights into consumer behavior, market dynamics, and marketing strategy through innovative research methodologies.</t>
        </is>
      </c>
      <c r="E63" s="128" t="n">
        <v>4</v>
      </c>
      <c r="F63" s="128" t="n">
        <v>21</v>
      </c>
      <c r="G63" s="90" t="inlineStr">
        <is>
          <t>https://business.columbia.edu/faculty/divisions</t>
        </is>
      </c>
    </row>
    <row r="64" ht="45" customHeight="1" s="91">
      <c r="A64" s="127" t="n">
        <v>8</v>
      </c>
      <c r="B64" s="127" t="inlineStr">
        <is>
          <t>NYU Stern</t>
        </is>
      </c>
      <c r="C64" s="127" t="inlineStr">
        <is>
          <t>Accounting</t>
        </is>
      </c>
      <c r="D64" s="127" t="inlineStr">
        <is>
          <t>Advancing knowledge in financial reporting, auditing, taxation, and accounting information systems through rigorous research and teaching.</t>
        </is>
      </c>
      <c r="E64" s="127" t="n">
        <v>4</v>
      </c>
      <c r="F64" s="127" t="n">
        <v>16</v>
      </c>
      <c r="G64" s="90" t="inlineStr">
        <is>
          <t>https://stern.nyu.edu/experience-stern/departments-centers-initiatives</t>
        </is>
      </c>
    </row>
    <row r="65" ht="45" customHeight="1" s="91">
      <c r="A65" s="128" t="n">
        <v>8</v>
      </c>
      <c r="B65" s="128" t="inlineStr">
        <is>
          <t>NYU Stern</t>
        </is>
      </c>
      <c r="C65" s="128" t="inlineStr">
        <is>
          <t>Economics</t>
        </is>
      </c>
      <c r="D65" s="128" t="inlineStr">
        <is>
          <t>Applying economic theory and empirical methods to understand business environments, policy impacts, and market behavior.</t>
        </is>
      </c>
      <c r="E65" s="128" t="n">
        <v>4</v>
      </c>
      <c r="F65" s="128" t="n">
        <v>20</v>
      </c>
      <c r="G65" s="90" t="inlineStr">
        <is>
          <t>https://stern.nyu.edu/experience-stern/departments-centers-initiatives</t>
        </is>
      </c>
    </row>
    <row r="66" ht="45" customHeight="1" s="91">
      <c r="A66" s="127" t="n">
        <v>8</v>
      </c>
      <c r="B66" s="127" t="inlineStr">
        <is>
          <t>NYU Stern</t>
        </is>
      </c>
      <c r="C66" s="127" t="inlineStr">
        <is>
          <t>Finance</t>
        </is>
      </c>
      <c r="D66" s="127" t="inlineStr">
        <is>
          <t>Conducting cutting-edge research in financial markets, corporate finance, and asset pricing to inform practice and policy.</t>
        </is>
      </c>
      <c r="E66" s="127" t="n">
        <v>4</v>
      </c>
      <c r="F66" s="127" t="n">
        <v>32</v>
      </c>
      <c r="G66" s="90" t="inlineStr">
        <is>
          <t>https://stern.nyu.edu/experience-stern/departments-centers-initiatives</t>
        </is>
      </c>
    </row>
    <row r="67" ht="45" customHeight="1" s="91">
      <c r="A67" s="128" t="n">
        <v>8</v>
      </c>
      <c r="B67" s="128" t="inlineStr">
        <is>
          <t>NYU Stern</t>
        </is>
      </c>
      <c r="C67" s="128" t="inlineStr">
        <is>
          <t>Management &amp; Organizations</t>
        </is>
      </c>
      <c r="D67" s="128" t="inlineStr">
        <is>
          <t>Investigating human behavior in organizations, including motivation, group dynamics, leadership, and organizational culture.</t>
        </is>
      </c>
      <c r="E67" s="128" t="n">
        <v>4</v>
      </c>
      <c r="F67" s="128" t="n">
        <v>31</v>
      </c>
      <c r="G67" s="90" t="inlineStr">
        <is>
          <t>https://stern.nyu.edu/experience-stern/departments-centers-initiatives</t>
        </is>
      </c>
    </row>
    <row r="68" ht="45" customHeight="1" s="91">
      <c r="A68" s="127" t="n">
        <v>8</v>
      </c>
      <c r="B68" s="127" t="inlineStr">
        <is>
          <t>NYU Stern</t>
        </is>
      </c>
      <c r="C68" s="127" t="inlineStr">
        <is>
          <t>Marketing</t>
        </is>
      </c>
      <c r="D68" s="127" t="inlineStr">
        <is>
          <t>Generating insights into consumer behavior, market dynamics, and marketing strategy through innovative research methodologies.</t>
        </is>
      </c>
      <c r="E68" s="127" t="n">
        <v>4</v>
      </c>
      <c r="F68" s="127" t="n">
        <v>24</v>
      </c>
      <c r="G68" s="90" t="inlineStr">
        <is>
          <t>https://stern.nyu.edu/experience-stern/departments-centers-initiatives</t>
        </is>
      </c>
    </row>
    <row r="69" ht="45" customHeight="1" s="91">
      <c r="A69" s="128" t="n">
        <v>8</v>
      </c>
      <c r="B69" s="128" t="inlineStr">
        <is>
          <t>NYU Stern</t>
        </is>
      </c>
      <c r="C69" s="128" t="inlineStr">
        <is>
          <t>Technology, Operations &amp; Statistics (TOPS)</t>
        </is>
      </c>
      <c r="D69" s="128" t="inlineStr">
        <is>
          <t>Optimizing business processes, supply chains, and decision analytics to improve organizational efficiency and effectiveness.</t>
        </is>
      </c>
      <c r="E69" s="128" t="n">
        <v>4</v>
      </c>
      <c r="F69" s="128" t="n">
        <v>34</v>
      </c>
      <c r="G69" s="90" t="inlineStr">
        <is>
          <t>https://www.stern.nyu.edu/experience-stern/about/departments-centers-initiatives/academic-departments/tops</t>
        </is>
      </c>
    </row>
    <row r="70" ht="45" customHeight="1" s="91">
      <c r="A70" s="127" t="n">
        <v>9</v>
      </c>
      <c r="B70" s="127" t="inlineStr">
        <is>
          <t>Dartmouth Tuck</t>
        </is>
      </c>
      <c r="C70" s="127" t="inlineStr">
        <is>
          <t>Accounting</t>
        </is>
      </c>
      <c r="D70" s="127" t="inlineStr">
        <is>
          <t>Advancing knowledge in financial reporting, auditing, taxation, and accounting information systems through rigorous research and teaching.</t>
        </is>
      </c>
      <c r="E70" s="127" t="n">
        <v>4</v>
      </c>
      <c r="F70" s="127" t="n">
        <v>6</v>
      </c>
      <c r="G70" s="90" t="inlineStr">
        <is>
          <t>https://tuck.dartmouth.edu/faculty/academic-groups/</t>
        </is>
      </c>
    </row>
    <row r="71" ht="45" customHeight="1" s="91">
      <c r="A71" s="128" t="n">
        <v>9</v>
      </c>
      <c r="B71" s="128" t="inlineStr">
        <is>
          <t>Dartmouth Tuck</t>
        </is>
      </c>
      <c r="C71" s="128" t="inlineStr">
        <is>
          <t>Economics</t>
        </is>
      </c>
      <c r="D71" s="128" t="inlineStr">
        <is>
          <t>Applying economic theory and empirical methods to understand business environments, policy impacts, and market behavior.</t>
        </is>
      </c>
      <c r="E71" s="128" t="n">
        <v>4</v>
      </c>
      <c r="F71" s="128" t="n">
        <v>8</v>
      </c>
      <c r="G71" s="90" t="inlineStr">
        <is>
          <t>https://tuck.dartmouth.edu/faculty/academic-groups/</t>
        </is>
      </c>
    </row>
    <row r="72" ht="45" customHeight="1" s="91">
      <c r="A72" s="127" t="n">
        <v>9</v>
      </c>
      <c r="B72" s="127" t="inlineStr">
        <is>
          <t>Dartmouth Tuck</t>
        </is>
      </c>
      <c r="C72" s="127" t="inlineStr">
        <is>
          <t>Finance</t>
        </is>
      </c>
      <c r="D72" s="127" t="inlineStr">
        <is>
          <t>Conducting cutting-edge research in financial markets, corporate finance, and asset pricing to inform practice and policy.</t>
        </is>
      </c>
      <c r="E72" s="127" t="n">
        <v>4</v>
      </c>
      <c r="F72" s="127" t="n">
        <v>9</v>
      </c>
      <c r="G72" s="90" t="inlineStr">
        <is>
          <t>https://tuck.dartmouth.edu/faculty/academic-groups/</t>
        </is>
      </c>
    </row>
    <row r="73" ht="45" customHeight="1" s="91">
      <c r="A73" s="128" t="n">
        <v>9</v>
      </c>
      <c r="B73" s="128" t="inlineStr">
        <is>
          <t>Dartmouth Tuck</t>
        </is>
      </c>
      <c r="C73" s="128" t="inlineStr">
        <is>
          <t>Marketing</t>
        </is>
      </c>
      <c r="D73" s="128" t="inlineStr">
        <is>
          <t>Generating insights into consumer behavior, market dynamics, and marketing strategy through innovative research methodologies.</t>
        </is>
      </c>
      <c r="E73" s="128" t="n">
        <v>4</v>
      </c>
      <c r="F73" s="128" t="n">
        <v>10</v>
      </c>
      <c r="G73" s="90" t="inlineStr">
        <is>
          <t>https://tuck.dartmouth.edu/faculty/academic-groups/</t>
        </is>
      </c>
    </row>
    <row r="74" ht="45" customHeight="1" s="91">
      <c r="A74" s="127" t="n">
        <v>9</v>
      </c>
      <c r="B74" s="127" t="inlineStr">
        <is>
          <t>Dartmouth Tuck</t>
        </is>
      </c>
      <c r="C74" s="127" t="inlineStr">
        <is>
          <t>Operations Management &amp; Management Science</t>
        </is>
      </c>
      <c r="D74" s="127" t="inlineStr">
        <is>
          <t>Optimizing business processes, supply chains, and decision analytics to improve organizational efficiency and effectiveness.</t>
        </is>
      </c>
      <c r="E74" s="127" t="n">
        <v>4</v>
      </c>
      <c r="F74" s="127" t="n">
        <v>5</v>
      </c>
      <c r="G74" s="90" t="inlineStr">
        <is>
          <t>https://www.tuck.dartmouth.edu/faculty/academic-groups/operations-management</t>
        </is>
      </c>
    </row>
    <row r="75" ht="45" customHeight="1" s="91">
      <c r="A75" s="128" t="n">
        <v>9</v>
      </c>
      <c r="B75" s="128" t="inlineStr">
        <is>
          <t>Dartmouth Tuck</t>
        </is>
      </c>
      <c r="C75" s="128" t="inlineStr">
        <is>
          <t>Organizational Behavior</t>
        </is>
      </c>
      <c r="D75" s="128" t="inlineStr">
        <is>
          <t>Investigating human behavior in organizations, including motivation, group dynamics, leadership, and organizational culture.</t>
        </is>
      </c>
      <c r="E75" s="128" t="n">
        <v>4</v>
      </c>
      <c r="F75" s="128" t="n">
        <v>7</v>
      </c>
      <c r="G75" s="90" t="inlineStr">
        <is>
          <t>https://tuck.dartmouth.edu/faculty/academic-groups/</t>
        </is>
      </c>
    </row>
    <row r="76" ht="45" customHeight="1" s="91">
      <c r="A76" s="127" t="n">
        <v>9</v>
      </c>
      <c r="B76" s="127" t="inlineStr">
        <is>
          <t>Dartmouth Tuck</t>
        </is>
      </c>
      <c r="C76" s="127" t="inlineStr">
        <is>
          <t>Strategic Management</t>
        </is>
      </c>
      <c r="D76" s="127" t="inlineStr">
        <is>
          <t>Researching competitive dynamics, corporate strategy, and innovation to help firms achieve sustainable advantage.</t>
        </is>
      </c>
      <c r="E76" s="127" t="n">
        <v>4</v>
      </c>
      <c r="F76" s="127" t="n">
        <v>7</v>
      </c>
      <c r="G76" s="90" t="inlineStr">
        <is>
          <t>https://tuck.dartmouth.edu/faculty/academic-groups/</t>
        </is>
      </c>
    </row>
    <row r="77" ht="45" customHeight="1" s="91">
      <c r="A77" s="128" t="n">
        <v>10</v>
      </c>
      <c r="B77" s="128" t="inlineStr">
        <is>
          <t>Yale SOM</t>
        </is>
      </c>
      <c r="C77" s="128" t="inlineStr">
        <is>
          <t>Accounting</t>
        </is>
      </c>
      <c r="D77" s="128" t="inlineStr">
        <is>
          <t>Advancing knowledge in financial reporting, auditing, taxation, and accounting information systems through rigorous research and teaching.</t>
        </is>
      </c>
      <c r="E77" s="128" t="n">
        <v>4</v>
      </c>
      <c r="F77" s="128" t="n">
        <v>12</v>
      </c>
      <c r="G77" s="90" t="inlineStr">
        <is>
          <t>https://som.yale.edu/faculty-research/faculty-directory</t>
        </is>
      </c>
    </row>
    <row r="78" ht="45" customHeight="1" s="91">
      <c r="A78" s="127" t="n">
        <v>10</v>
      </c>
      <c r="B78" s="127" t="inlineStr">
        <is>
          <t>Yale SOM</t>
        </is>
      </c>
      <c r="C78" s="127" t="inlineStr">
        <is>
          <t>Economics</t>
        </is>
      </c>
      <c r="D78" s="127" t="inlineStr">
        <is>
          <t>Applying economic theory and empirical methods to understand business environments, policy impacts, and market behavior.</t>
        </is>
      </c>
      <c r="E78" s="127" t="n">
        <v>4</v>
      </c>
      <c r="F78" s="127" t="n">
        <v>25</v>
      </c>
      <c r="G78" s="90" t="inlineStr">
        <is>
          <t>https://som.yale.edu/faculty-research/faculty-directory</t>
        </is>
      </c>
    </row>
    <row r="79" ht="45" customHeight="1" s="91">
      <c r="A79" s="128" t="n">
        <v>10</v>
      </c>
      <c r="B79" s="128" t="inlineStr">
        <is>
          <t>Yale SOM</t>
        </is>
      </c>
      <c r="C79" s="128" t="inlineStr">
        <is>
          <t>Entrepreneurship</t>
        </is>
      </c>
      <c r="D79" s="128" t="inlineStr">
        <is>
          <t>Contributing to the advancement of business knowledge through rigorous research and impactful teaching.</t>
        </is>
      </c>
      <c r="E79" s="128" t="n">
        <v>4</v>
      </c>
      <c r="F79" s="128" t="n">
        <v>7</v>
      </c>
      <c r="G79" s="90" t="inlineStr">
        <is>
          <t>https://som.yale.edu/centers/program-on-entrepreneurship/about/affiliated-faculty</t>
        </is>
      </c>
    </row>
    <row r="80" ht="45" customHeight="1" s="91">
      <c r="A80" s="127" t="n">
        <v>10</v>
      </c>
      <c r="B80" s="127" t="inlineStr">
        <is>
          <t>Yale SOM</t>
        </is>
      </c>
      <c r="C80" s="127" t="inlineStr">
        <is>
          <t>Finance</t>
        </is>
      </c>
      <c r="D80" s="127" t="inlineStr">
        <is>
          <t>Conducting cutting-edge research in financial markets, corporate finance, and asset pricing to inform practice and policy.</t>
        </is>
      </c>
      <c r="E80" s="127" t="n">
        <v>4</v>
      </c>
      <c r="F80" s="127" t="n">
        <v>24</v>
      </c>
      <c r="G80" s="90" t="inlineStr">
        <is>
          <t>https://som.yale.edu/faculty-research/faculty-directory</t>
        </is>
      </c>
    </row>
    <row r="81" ht="45" customHeight="1" s="91">
      <c r="A81" s="128" t="n">
        <v>10</v>
      </c>
      <c r="B81" s="128" t="inlineStr">
        <is>
          <t>Yale SOM</t>
        </is>
      </c>
      <c r="C81" s="128" t="inlineStr">
        <is>
          <t>Marketing</t>
        </is>
      </c>
      <c r="D81" s="128" t="inlineStr">
        <is>
          <t>Generating insights into consumer behavior, market dynamics, and marketing strategy through innovative research methodologies.</t>
        </is>
      </c>
      <c r="E81" s="128" t="n">
        <v>4</v>
      </c>
      <c r="F81" s="128" t="n">
        <v>17</v>
      </c>
      <c r="G81" s="90" t="inlineStr">
        <is>
          <t>https://som.yale.edu/faculty-research/faculty-directory</t>
        </is>
      </c>
    </row>
    <row r="82" ht="45" customHeight="1" s="91">
      <c r="A82" s="127" t="n">
        <v>10</v>
      </c>
      <c r="B82" s="127" t="inlineStr">
        <is>
          <t>Yale SOM</t>
        </is>
      </c>
      <c r="C82" s="127" t="inlineStr">
        <is>
          <t>Operations</t>
        </is>
      </c>
      <c r="D82" s="127" t="inlineStr">
        <is>
          <t>Optimizing business processes, supply chains, and decision analytics to improve organizational efficiency and effectiveness.</t>
        </is>
      </c>
      <c r="E82" s="127" t="n">
        <v>4</v>
      </c>
      <c r="F82" s="127" t="n">
        <v>12</v>
      </c>
      <c r="G82" s="90" t="inlineStr">
        <is>
          <t>https://som.yale.edu/faculty-research/disciplines/operations</t>
        </is>
      </c>
    </row>
    <row r="83" ht="45" customHeight="1" s="91">
      <c r="A83" s="128" t="n">
        <v>10</v>
      </c>
      <c r="B83" s="128" t="inlineStr">
        <is>
          <t>Yale SOM</t>
        </is>
      </c>
      <c r="C83" s="128" t="inlineStr">
        <is>
          <t>Organizational Behavior</t>
        </is>
      </c>
      <c r="D83" s="128" t="inlineStr">
        <is>
          <t>Investigating human behavior in organizations, including motivation, group dynamics, leadership, and organizational culture.</t>
        </is>
      </c>
      <c r="E83" s="128" t="n">
        <v>4</v>
      </c>
      <c r="F83" s="128" t="n">
        <v>13</v>
      </c>
      <c r="G83" s="90" t="inlineStr">
        <is>
          <t>https://som.yale.edu/faculty-research/faculty-directory</t>
        </is>
      </c>
    </row>
    <row r="84" ht="45" customHeight="1" s="91">
      <c r="A84" s="127" t="n">
        <v>11</v>
      </c>
      <c r="B84" s="127" t="inlineStr">
        <is>
          <t>Berkeley Haas</t>
        </is>
      </c>
      <c r="C84" s="127" t="inlineStr">
        <is>
          <t>Accounting</t>
        </is>
      </c>
      <c r="D84" s="127" t="inlineStr">
        <is>
          <t>Advancing knowledge in financial reporting, auditing, taxation, and accounting information systems through rigorous research and teaching.</t>
        </is>
      </c>
      <c r="E84" s="127" t="n">
        <v>4</v>
      </c>
      <c r="F84" s="127" t="n">
        <v>9</v>
      </c>
      <c r="G84" s="90" t="inlineStr">
        <is>
          <t>https://haas.berkeley.edu/academic-area/</t>
        </is>
      </c>
    </row>
    <row r="85" ht="45" customHeight="1" s="91">
      <c r="A85" s="128" t="n">
        <v>11</v>
      </c>
      <c r="B85" s="128" t="inlineStr">
        <is>
          <t>Berkeley Haas</t>
        </is>
      </c>
      <c r="C85" s="128" t="inlineStr">
        <is>
          <t>Business &amp; Public Policy</t>
        </is>
      </c>
      <c r="D85" s="128" t="inlineStr">
        <is>
          <t>Contributing to the advancement of business knowledge through rigorous research and impactful teaching.</t>
        </is>
      </c>
      <c r="E85" s="128" t="n">
        <v>4</v>
      </c>
      <c r="F85" s="128" t="n">
        <v>12</v>
      </c>
      <c r="G85" s="90" t="inlineStr">
        <is>
          <t>https://haas.berkeley.edu/academic-area/</t>
        </is>
      </c>
    </row>
    <row r="86" ht="45" customHeight="1" s="91">
      <c r="A86" s="127" t="n">
        <v>11</v>
      </c>
      <c r="B86" s="127" t="inlineStr">
        <is>
          <t>Berkeley Haas</t>
        </is>
      </c>
      <c r="C86" s="127" t="inlineStr">
        <is>
          <t>Finance</t>
        </is>
      </c>
      <c r="D86" s="127" t="inlineStr">
        <is>
          <t>Conducting cutting-edge research in financial markets, corporate finance, and asset pricing to inform practice and policy.</t>
        </is>
      </c>
      <c r="E86" s="127" t="n">
        <v>4</v>
      </c>
      <c r="F86" s="127" t="n">
        <v>12</v>
      </c>
      <c r="G86" s="90" t="inlineStr">
        <is>
          <t>https://haas.berkeley.edu/academic-area/</t>
        </is>
      </c>
    </row>
    <row r="87" ht="45" customHeight="1" s="91">
      <c r="A87" s="128" t="n">
        <v>11</v>
      </c>
      <c r="B87" s="128" t="inlineStr">
        <is>
          <t>Berkeley Haas</t>
        </is>
      </c>
      <c r="C87" s="128" t="inlineStr">
        <is>
          <t>Management of Organizations</t>
        </is>
      </c>
      <c r="D87" s="128" t="inlineStr">
        <is>
          <t>Investigating human behavior in organizations, including motivation, group dynamics, leadership, and organizational culture.</t>
        </is>
      </c>
      <c r="E87" s="128" t="n">
        <v>4</v>
      </c>
      <c r="F87" s="128" t="n">
        <v>11</v>
      </c>
      <c r="G87" s="90" t="inlineStr">
        <is>
          <t>https://haas.berkeley.edu/academic-area/</t>
        </is>
      </c>
    </row>
    <row r="88" ht="45" customHeight="1" s="91">
      <c r="A88" s="127" t="n">
        <v>11</v>
      </c>
      <c r="B88" s="127" t="inlineStr">
        <is>
          <t>Berkeley Haas</t>
        </is>
      </c>
      <c r="C88" s="127" t="inlineStr">
        <is>
          <t>Marketing</t>
        </is>
      </c>
      <c r="D88" s="127" t="inlineStr">
        <is>
          <t>Generating insights into consumer behavior, market dynamics, and marketing strategy through innovative research methodologies.</t>
        </is>
      </c>
      <c r="E88" s="127" t="n">
        <v>4</v>
      </c>
      <c r="F88" s="127" t="n">
        <v>13</v>
      </c>
      <c r="G88" s="90" t="inlineStr">
        <is>
          <t>https://haas.berkeley.edu/academic-area/</t>
        </is>
      </c>
    </row>
    <row r="89" ht="45" customHeight="1" s="91">
      <c r="A89" s="128" t="n">
        <v>11</v>
      </c>
      <c r="B89" s="128" t="inlineStr">
        <is>
          <t>Berkeley Haas</t>
        </is>
      </c>
      <c r="C89" s="128" t="inlineStr">
        <is>
          <t>Real Estate</t>
        </is>
      </c>
      <c r="D89" s="128" t="inlineStr">
        <is>
          <t>Contributing to the advancement of business knowledge through rigorous research and impactful teaching.</t>
        </is>
      </c>
      <c r="E89" s="128" t="n">
        <v>4</v>
      </c>
      <c r="F89" s="128" t="n">
        <v>13</v>
      </c>
      <c r="G89" s="90" t="inlineStr">
        <is>
          <t>https://haas.berkeley.edu/academic-area/</t>
        </is>
      </c>
    </row>
    <row r="90" ht="45" customHeight="1" s="91">
      <c r="A90" s="127" t="n">
        <v>12</v>
      </c>
      <c r="B90" s="127" t="inlineStr">
        <is>
          <t>UVA Darden</t>
        </is>
      </c>
      <c r="C90" s="127" t="inlineStr">
        <is>
          <t>Accounting</t>
        </is>
      </c>
      <c r="D90" s="127" t="inlineStr">
        <is>
          <t>Advancing knowledge in financial reporting, auditing, taxation, and accounting information systems through rigorous research and teaching.</t>
        </is>
      </c>
      <c r="E90" s="127" t="n">
        <v>4</v>
      </c>
      <c r="F90" s="127" t="n">
        <v>7</v>
      </c>
      <c r="G90" s="90" t="inlineStr">
        <is>
          <t>https://darden.virginia.edu/faculty-research/academic-areas</t>
        </is>
      </c>
    </row>
    <row r="91" ht="45" customHeight="1" s="91">
      <c r="A91" s="128" t="n">
        <v>12</v>
      </c>
      <c r="B91" s="128" t="inlineStr">
        <is>
          <t>UVA Darden</t>
        </is>
      </c>
      <c r="C91" s="128" t="inlineStr">
        <is>
          <t>Data Analytics and Decision Sciences (DADS)</t>
        </is>
      </c>
      <c r="D91" s="128" t="inlineStr">
        <is>
          <t>Applying economic theory and empirical methods to understand business environments, policy impacts, and market behavior.</t>
        </is>
      </c>
      <c r="E91" s="128" t="n">
        <v>4</v>
      </c>
      <c r="F91" s="128" t="n">
        <v>10</v>
      </c>
      <c r="G91" s="90" t="inlineStr">
        <is>
          <t>https://www.darden.virginia.edu/faculty-research/academic-areas/data-analytics-decision-sciences</t>
        </is>
      </c>
    </row>
    <row r="92" ht="45" customHeight="1" s="91">
      <c r="A92" s="127" t="n">
        <v>12</v>
      </c>
      <c r="B92" s="127" t="inlineStr">
        <is>
          <t>UVA Darden</t>
        </is>
      </c>
      <c r="C92" s="127" t="inlineStr">
        <is>
          <t>Global Economies &amp; Markets</t>
        </is>
      </c>
      <c r="D92" s="127" t="inlineStr">
        <is>
          <t>Contributing to the advancement of business knowledge through rigorous research and impactful teaching.</t>
        </is>
      </c>
      <c r="E92" s="127" t="n">
        <v>4</v>
      </c>
      <c r="F92" s="127" t="n">
        <v>9</v>
      </c>
      <c r="G92" s="90" t="inlineStr">
        <is>
          <t>https://darden.virginia.edu/faculty-research/academic-areas</t>
        </is>
      </c>
    </row>
    <row r="93" ht="45" customHeight="1" s="91">
      <c r="A93" s="128" t="n">
        <v>12</v>
      </c>
      <c r="B93" s="128" t="inlineStr">
        <is>
          <t>UVA Darden</t>
        </is>
      </c>
      <c r="C93" s="128" t="inlineStr">
        <is>
          <t>Leadership &amp; Organizational Behavior</t>
        </is>
      </c>
      <c r="D93" s="128" t="inlineStr">
        <is>
          <t>Investigating human behavior in organizations, including motivation, group dynamics, leadership, and organizational culture.</t>
        </is>
      </c>
      <c r="E93" s="128" t="n">
        <v>4</v>
      </c>
      <c r="F93" s="128" t="n">
        <v>11</v>
      </c>
      <c r="G93" s="90" t="inlineStr">
        <is>
          <t>https://darden.virginia.edu/faculty-research/academic-areas</t>
        </is>
      </c>
    </row>
    <row r="94" ht="45" customHeight="1" s="91">
      <c r="A94" s="127" t="n">
        <v>12</v>
      </c>
      <c r="B94" s="127" t="inlineStr">
        <is>
          <t>UVA Darden</t>
        </is>
      </c>
      <c r="C94" s="127" t="inlineStr">
        <is>
          <t>Strategy, Ethics &amp; Entrepreneurship</t>
        </is>
      </c>
      <c r="D94" s="127" t="inlineStr">
        <is>
          <t>Researching competitive dynamics, corporate strategy, and innovation to help firms achieve sustainable advantage.</t>
        </is>
      </c>
      <c r="E94" s="127" t="n">
        <v>4</v>
      </c>
      <c r="F94" s="127" t="n">
        <v>16</v>
      </c>
      <c r="G94" s="90" t="inlineStr">
        <is>
          <t>https://darden.virginia.edu/faculty-research/academic-areas</t>
        </is>
      </c>
    </row>
    <row r="95" ht="45" customHeight="1" s="91">
      <c r="A95" s="128" t="n">
        <v>12</v>
      </c>
      <c r="B95" s="128" t="inlineStr">
        <is>
          <t>UVA Darden</t>
        </is>
      </c>
      <c r="C95" s="128" t="inlineStr">
        <is>
          <t>Technology and Operations Management</t>
        </is>
      </c>
      <c r="D95" s="128" t="inlineStr">
        <is>
          <t>Optimizing business processes, supply chains, and decision analytics to improve organizational efficiency and effectiveness.</t>
        </is>
      </c>
      <c r="E95" s="128" t="n">
        <v>4</v>
      </c>
      <c r="F95" s="128" t="n">
        <v>6</v>
      </c>
      <c r="G95" s="90" t="inlineStr">
        <is>
          <t>https://www.darden.virginia.edu/faculty-research/academic-areas/technology-operations-management</t>
        </is>
      </c>
    </row>
    <row r="96" ht="45" customHeight="1" s="91">
      <c r="A96" s="127" t="n">
        <v>13</v>
      </c>
      <c r="B96" s="127" t="inlineStr">
        <is>
          <t>Michigan Ross</t>
        </is>
      </c>
      <c r="C96" s="127" t="inlineStr">
        <is>
          <t>Accounting</t>
        </is>
      </c>
      <c r="D96" s="127" t="inlineStr">
        <is>
          <t>Advancing knowledge in financial reporting, auditing, taxation, and accounting information systems through rigorous research and teaching.</t>
        </is>
      </c>
      <c r="E96" s="127" t="n">
        <v>4</v>
      </c>
      <c r="F96" s="127" t="n">
        <v>9</v>
      </c>
      <c r="G96" s="90" t="inlineStr">
        <is>
          <t>https://michiganross.umich.edu/faculty-research/areas-of-study</t>
        </is>
      </c>
    </row>
    <row r="97" ht="45" customHeight="1" s="91">
      <c r="A97" s="128" t="n">
        <v>13</v>
      </c>
      <c r="B97" s="128" t="inlineStr">
        <is>
          <t>Michigan Ross</t>
        </is>
      </c>
      <c r="C97" s="128" t="inlineStr">
        <is>
          <t>Business Economics &amp; Public Policy</t>
        </is>
      </c>
      <c r="D97" s="128" t="inlineStr">
        <is>
          <t>Applying economic theory and empirical methods to understand business environments, policy impacts, and market behavior.</t>
        </is>
      </c>
      <c r="E97" s="128" t="n">
        <v>4</v>
      </c>
      <c r="F97" s="128" t="n">
        <v>10</v>
      </c>
      <c r="G97" s="90" t="inlineStr">
        <is>
          <t>https://michiganross.umich.edu/faculty-research/areas-of-study</t>
        </is>
      </c>
    </row>
    <row r="98" ht="45" customHeight="1" s="91">
      <c r="A98" s="127" t="n">
        <v>13</v>
      </c>
      <c r="B98" s="127" t="inlineStr">
        <is>
          <t>Michigan Ross</t>
        </is>
      </c>
      <c r="C98" s="127" t="inlineStr">
        <is>
          <t>Finance</t>
        </is>
      </c>
      <c r="D98" s="127" t="inlineStr">
        <is>
          <t>Conducting cutting-edge research in financial markets, corporate finance, and asset pricing to inform practice and policy.</t>
        </is>
      </c>
      <c r="E98" s="127" t="n">
        <v>4</v>
      </c>
      <c r="F98" s="127" t="n">
        <v>11</v>
      </c>
      <c r="G98" s="90" t="inlineStr">
        <is>
          <t>https://michiganross.umich.edu/faculty-research/areas-of-study</t>
        </is>
      </c>
    </row>
    <row r="99" ht="45" customHeight="1" s="91">
      <c r="A99" s="128" t="n">
        <v>13</v>
      </c>
      <c r="B99" s="128" t="inlineStr">
        <is>
          <t>Michigan Ross</t>
        </is>
      </c>
      <c r="C99" s="128" t="inlineStr">
        <is>
          <t>Management &amp; Organizations</t>
        </is>
      </c>
      <c r="D99" s="128" t="inlineStr">
        <is>
          <t>Investigating human behavior in organizations, including motivation, group dynamics, leadership, and organizational culture.</t>
        </is>
      </c>
      <c r="E99" s="128" t="n">
        <v>4</v>
      </c>
      <c r="F99" s="128" t="n">
        <v>20</v>
      </c>
      <c r="G99" s="90" t="inlineStr">
        <is>
          <t>https://michiganross.umich.edu/faculty-research/areas-of-study</t>
        </is>
      </c>
    </row>
    <row r="100" ht="45" customHeight="1" s="91">
      <c r="A100" s="127" t="n">
        <v>13</v>
      </c>
      <c r="B100" s="127" t="inlineStr">
        <is>
          <t>Michigan Ross</t>
        </is>
      </c>
      <c r="C100" s="127" t="inlineStr">
        <is>
          <t>Marketing</t>
        </is>
      </c>
      <c r="D100" s="127" t="inlineStr">
        <is>
          <t>Generating insights into consumer behavior, market dynamics, and marketing strategy through innovative research methodologies.</t>
        </is>
      </c>
      <c r="E100" s="127" t="n">
        <v>4</v>
      </c>
      <c r="F100" s="127" t="n">
        <v>13</v>
      </c>
      <c r="G100" s="90" t="inlineStr">
        <is>
          <t>https://michiganross.umich.edu/faculty-research/areas-of-study</t>
        </is>
      </c>
    </row>
    <row r="101" ht="45" customHeight="1" s="91">
      <c r="A101" s="128" t="n">
        <v>13</v>
      </c>
      <c r="B101" s="128" t="inlineStr">
        <is>
          <t>Michigan Ross</t>
        </is>
      </c>
      <c r="C101" s="128" t="inlineStr">
        <is>
          <t>Strategy</t>
        </is>
      </c>
      <c r="D101" s="128" t="inlineStr">
        <is>
          <t>Researching competitive dynamics, corporate strategy, and innovation to help firms achieve sustainable advantage.</t>
        </is>
      </c>
      <c r="E101" s="128" t="n">
        <v>4</v>
      </c>
      <c r="F101" s="128" t="n">
        <v>11</v>
      </c>
      <c r="G101" s="90" t="inlineStr">
        <is>
          <t>https://michiganross.umich.edu/faculty-research/areas-of-study</t>
        </is>
      </c>
    </row>
    <row r="102" ht="45" customHeight="1" s="91">
      <c r="A102" s="127" t="n">
        <v>13</v>
      </c>
      <c r="B102" s="127" t="inlineStr">
        <is>
          <t>Michigan Ross</t>
        </is>
      </c>
      <c r="C102" s="127" t="inlineStr">
        <is>
          <t>Technology and Operations</t>
        </is>
      </c>
      <c r="D102" s="127" t="inlineStr">
        <is>
          <t>Optimizing business processes, supply chains, and decision analytics to improve organizational efficiency and effectiveness.</t>
        </is>
      </c>
      <c r="E102" s="127" t="n">
        <v>4</v>
      </c>
      <c r="F102" s="127" t="n">
        <v>21</v>
      </c>
      <c r="G102" s="90" t="inlineStr">
        <is>
          <t>https://michiganross.umich.edu/faculty-research/areas-of-study/technology-operations</t>
        </is>
      </c>
    </row>
    <row r="103" ht="45" customHeight="1" s="91">
      <c r="A103" s="128" t="n">
        <v>14</v>
      </c>
      <c r="B103" s="128" t="inlineStr">
        <is>
          <t>Duke Fuqua</t>
        </is>
      </c>
      <c r="C103" s="128" t="inlineStr">
        <is>
          <t>Accounting</t>
        </is>
      </c>
      <c r="D103" s="128" t="inlineStr">
        <is>
          <t>Advancing knowledge in financial reporting, auditing, taxation, and accounting information systems through rigorous research and teaching.</t>
        </is>
      </c>
      <c r="E103" s="128" t="n">
        <v>4</v>
      </c>
      <c r="F103" s="128" t="n">
        <v>13</v>
      </c>
      <c r="G103" s="90" t="inlineStr">
        <is>
          <t>https://fuqua.duke.edu/faculty-research/academic-areas</t>
        </is>
      </c>
    </row>
    <row r="104" ht="45" customHeight="1" s="91">
      <c r="A104" s="127" t="n">
        <v>14</v>
      </c>
      <c r="B104" s="127" t="inlineStr">
        <is>
          <t>Duke Fuqua</t>
        </is>
      </c>
      <c r="C104" s="127" t="inlineStr">
        <is>
          <t>Decision Sciences</t>
        </is>
      </c>
      <c r="D104" s="127" t="inlineStr">
        <is>
          <t>Applying economic theory and empirical methods to understand business environments, policy impacts, and market behavior.</t>
        </is>
      </c>
      <c r="E104" s="127" t="n">
        <v>4</v>
      </c>
      <c r="F104" s="127" t="n">
        <v>13</v>
      </c>
      <c r="G104" s="90" t="inlineStr">
        <is>
          <t>https://areas.fuqua.duke.edu/decision-sciences/</t>
        </is>
      </c>
    </row>
    <row r="105" ht="45" customHeight="1" s="91">
      <c r="A105" s="128" t="n">
        <v>14</v>
      </c>
      <c r="B105" s="128" t="inlineStr">
        <is>
          <t>Duke Fuqua</t>
        </is>
      </c>
      <c r="C105" s="128" t="inlineStr">
        <is>
          <t>Economics</t>
        </is>
      </c>
      <c r="D105" s="128" t="inlineStr">
        <is>
          <t>Applying economic theory and empirical methods to understand business environments, policy impacts, and market behavior.</t>
        </is>
      </c>
      <c r="E105" s="128" t="n">
        <v>4</v>
      </c>
      <c r="F105" s="128" t="n">
        <v>8</v>
      </c>
      <c r="G105" s="90" t="inlineStr">
        <is>
          <t>https://fuqua.duke.edu/faculty-research/academic-areas</t>
        </is>
      </c>
    </row>
    <row r="106" ht="45" customHeight="1" s="91">
      <c r="A106" s="127" t="n">
        <v>14</v>
      </c>
      <c r="B106" s="127" t="inlineStr">
        <is>
          <t>Duke Fuqua</t>
        </is>
      </c>
      <c r="C106" s="127" t="inlineStr">
        <is>
          <t>Finance</t>
        </is>
      </c>
      <c r="D106" s="127" t="inlineStr">
        <is>
          <t>Conducting cutting-edge research in financial markets, corporate finance, and asset pricing to inform practice and policy.</t>
        </is>
      </c>
      <c r="E106" s="127" t="n">
        <v>4</v>
      </c>
      <c r="F106" s="127" t="n">
        <v>22</v>
      </c>
      <c r="G106" s="90" t="inlineStr">
        <is>
          <t>https://fuqua.duke.edu/faculty-research/academic-areas</t>
        </is>
      </c>
    </row>
    <row r="107" ht="45" customHeight="1" s="91">
      <c r="A107" s="128" t="n">
        <v>14</v>
      </c>
      <c r="B107" s="128" t="inlineStr">
        <is>
          <t>Duke Fuqua</t>
        </is>
      </c>
      <c r="C107" s="128" t="inlineStr">
        <is>
          <t>Management</t>
        </is>
      </c>
      <c r="D107" s="128" t="inlineStr">
        <is>
          <t>Studying organizational dynamics, leadership, and strategic decision-making to develop effective management practices.</t>
        </is>
      </c>
      <c r="E107" s="128" t="n">
        <v>4</v>
      </c>
      <c r="F107" s="128" t="n">
        <v>14</v>
      </c>
      <c r="G107" s="90" t="inlineStr">
        <is>
          <t>https://fuqua.duke.edu/faculty-research/academic-areas</t>
        </is>
      </c>
    </row>
    <row r="108" ht="45" customHeight="1" s="91">
      <c r="A108" s="127" t="n">
        <v>14</v>
      </c>
      <c r="B108" s="127" t="inlineStr">
        <is>
          <t>Duke Fuqua</t>
        </is>
      </c>
      <c r="C108" s="127" t="inlineStr">
        <is>
          <t>Marketing</t>
        </is>
      </c>
      <c r="D108" s="127" t="inlineStr">
        <is>
          <t>Generating insights into consumer behavior, market dynamics, and marketing strategy through innovative research methodologies.</t>
        </is>
      </c>
      <c r="E108" s="127" t="n">
        <v>4</v>
      </c>
      <c r="F108" s="127" t="n">
        <v>16</v>
      </c>
      <c r="G108" s="90" t="inlineStr">
        <is>
          <t>https://fuqua.duke.edu/faculty-research/academic-areas</t>
        </is>
      </c>
    </row>
    <row r="109" ht="45" customHeight="1" s="91">
      <c r="A109" s="128" t="n">
        <v>14</v>
      </c>
      <c r="B109" s="128" t="inlineStr">
        <is>
          <t>Duke Fuqua</t>
        </is>
      </c>
      <c r="C109" s="128" t="inlineStr">
        <is>
          <t>Operations Management</t>
        </is>
      </c>
      <c r="D109" s="128" t="inlineStr">
        <is>
          <t>Optimizing business processes, supply chains, and decision analytics to improve organizational efficiency and effectiveness.</t>
        </is>
      </c>
      <c r="E109" s="128" t="n">
        <v>4</v>
      </c>
      <c r="F109" s="128" t="n">
        <v>6</v>
      </c>
      <c r="G109" s="90" t="inlineStr">
        <is>
          <t>https://areas.fuqua.duke.edu/operations-management/</t>
        </is>
      </c>
    </row>
    <row r="110" ht="45" customHeight="1" s="91">
      <c r="A110" s="127" t="n">
        <v>14</v>
      </c>
      <c r="B110" s="127" t="inlineStr">
        <is>
          <t>Duke Fuqua</t>
        </is>
      </c>
      <c r="C110" s="127" t="inlineStr">
        <is>
          <t>Strategy</t>
        </is>
      </c>
      <c r="D110" s="127" t="inlineStr">
        <is>
          <t>Researching competitive dynamics, corporate strategy, and innovation to help firms achieve sustainable advantage.</t>
        </is>
      </c>
      <c r="E110" s="127" t="n">
        <v>4</v>
      </c>
      <c r="F110" s="127" t="n">
        <v>12</v>
      </c>
      <c r="G110" s="90" t="inlineStr">
        <is>
          <t>https://fuqua.duke.edu/faculty-research/academic-areas</t>
        </is>
      </c>
    </row>
    <row r="111" ht="45" customHeight="1" s="91">
      <c r="A111" s="128" t="n">
        <v>15</v>
      </c>
      <c r="B111" s="128" t="inlineStr">
        <is>
          <t>Cornell Johnson</t>
        </is>
      </c>
      <c r="C111" s="128" t="inlineStr">
        <is>
          <t>Accounting</t>
        </is>
      </c>
      <c r="D111" s="128" t="inlineStr">
        <is>
          <t>Advancing knowledge in financial reporting, auditing, taxation, and accounting information systems through rigorous research and teaching.</t>
        </is>
      </c>
      <c r="E111" s="128" t="n">
        <v>4</v>
      </c>
      <c r="F111" s="128" t="n">
        <v>14</v>
      </c>
      <c r="G111" s="90" t="inlineStr">
        <is>
          <t>https://business.cornell.edu/faculty-research/areas/</t>
        </is>
      </c>
    </row>
    <row r="112" ht="45" customHeight="1" s="91">
      <c r="A112" s="127" t="n">
        <v>15</v>
      </c>
      <c r="B112" s="127" t="inlineStr">
        <is>
          <t>Cornell Johnson</t>
        </is>
      </c>
      <c r="C112" s="127" t="inlineStr">
        <is>
          <t>Applied Economics &amp; Policy</t>
        </is>
      </c>
      <c r="D112" s="127" t="inlineStr">
        <is>
          <t>Applying economic theory and empirical methods to understand business environments, policy impacts, and market behavior.</t>
        </is>
      </c>
      <c r="E112" s="127" t="n">
        <v>4</v>
      </c>
      <c r="F112" s="127" t="n">
        <v>25</v>
      </c>
      <c r="G112" s="90" t="inlineStr">
        <is>
          <t>https://business.cornell.edu/faculty-research/areas/</t>
        </is>
      </c>
    </row>
    <row r="113" ht="45" customHeight="1" s="91">
      <c r="A113" s="128" t="n">
        <v>15</v>
      </c>
      <c r="B113" s="128" t="inlineStr">
        <is>
          <t>Cornell Johnson</t>
        </is>
      </c>
      <c r="C113" s="128" t="inlineStr">
        <is>
          <t>Finance</t>
        </is>
      </c>
      <c r="D113" s="128" t="inlineStr">
        <is>
          <t>Conducting cutting-edge research in financial markets, corporate finance, and asset pricing to inform practice and policy.</t>
        </is>
      </c>
      <c r="E113" s="128" t="n">
        <v>4</v>
      </c>
      <c r="F113" s="128" t="n">
        <v>24</v>
      </c>
      <c r="G113" s="90" t="inlineStr">
        <is>
          <t>https://business.cornell.edu/faculty-research/areas/</t>
        </is>
      </c>
    </row>
    <row r="114" ht="45" customHeight="1" s="91">
      <c r="A114" s="127" t="n">
        <v>15</v>
      </c>
      <c r="B114" s="127" t="inlineStr">
        <is>
          <t>Cornell Johnson</t>
        </is>
      </c>
      <c r="C114" s="127" t="inlineStr">
        <is>
          <t>Management &amp; Organizations</t>
        </is>
      </c>
      <c r="D114" s="127" t="inlineStr">
        <is>
          <t>Investigating human behavior in organizations, including motivation, group dynamics, leadership, and organizational culture.</t>
        </is>
      </c>
      <c r="E114" s="127" t="n">
        <v>4</v>
      </c>
      <c r="F114" s="127" t="n">
        <v>27</v>
      </c>
      <c r="G114" s="90" t="inlineStr">
        <is>
          <t>https://business.cornell.edu/faculty-research/areas/</t>
        </is>
      </c>
    </row>
    <row r="115" ht="45" customHeight="1" s="91">
      <c r="A115" s="128" t="n">
        <v>15</v>
      </c>
      <c r="B115" s="128" t="inlineStr">
        <is>
          <t>Cornell Johnson</t>
        </is>
      </c>
      <c r="C115" s="128" t="inlineStr">
        <is>
          <t>Marketing</t>
        </is>
      </c>
      <c r="D115" s="128" t="inlineStr">
        <is>
          <t>Generating insights into consumer behavior, market dynamics, and marketing strategy through innovative research methodologies.</t>
        </is>
      </c>
      <c r="E115" s="128" t="n">
        <v>4</v>
      </c>
      <c r="F115" s="128" t="n">
        <v>22</v>
      </c>
      <c r="G115" s="90" t="inlineStr">
        <is>
          <t>https://business.cornell.edu/faculty-research/areas/</t>
        </is>
      </c>
    </row>
    <row r="116" ht="45" customHeight="1" s="91">
      <c r="A116" s="127" t="n">
        <v>15</v>
      </c>
      <c r="B116" s="127" t="inlineStr">
        <is>
          <t>Cornell Johnson</t>
        </is>
      </c>
      <c r="C116" s="127" t="inlineStr">
        <is>
          <t>Operations, Technology, and Information Management (OTIM)</t>
        </is>
      </c>
      <c r="D116" s="127" t="inlineStr">
        <is>
          <t>Optimizing business processes, supply chains, and decision analytics to improve organizational efficiency and effectiveness.</t>
        </is>
      </c>
      <c r="E116" s="127" t="n">
        <v>4</v>
      </c>
      <c r="F116" s="127" t="n">
        <v>14</v>
      </c>
      <c r="G116" s="90" t="inlineStr">
        <is>
          <t>https://business.cornell.edu/faculty-research/areas/operations-technology-and-information-management/</t>
        </is>
      </c>
    </row>
    <row r="117" ht="45" customHeight="1" s="91">
      <c r="A117" s="128" t="n">
        <v>15</v>
      </c>
      <c r="B117" s="128" t="inlineStr">
        <is>
          <t>Cornell Johnson</t>
        </is>
      </c>
      <c r="C117" s="128" t="inlineStr">
        <is>
          <t>Strategy &amp; Business Economics</t>
        </is>
      </c>
      <c r="D117" s="128" t="inlineStr">
        <is>
          <t>Applying economic theory and empirical methods to understand business environments, policy impacts, and market behavior.</t>
        </is>
      </c>
      <c r="E117" s="128" t="n">
        <v>4</v>
      </c>
      <c r="F117" s="128" t="n">
        <v>6</v>
      </c>
      <c r="G117" s="90" t="inlineStr">
        <is>
          <t>https://business.cornell.edu/faculty-research/areas/</t>
        </is>
      </c>
    </row>
    <row r="118" ht="45" customHeight="1" s="91">
      <c r="A118" s="127" t="n">
        <v>16</v>
      </c>
      <c r="B118" s="127" t="inlineStr">
        <is>
          <t>UT McCombs</t>
        </is>
      </c>
      <c r="C118" s="127" t="inlineStr">
        <is>
          <t>Accounting</t>
        </is>
      </c>
      <c r="D118" s="127" t="inlineStr">
        <is>
          <t>Advancing knowledge in financial reporting, auditing, taxation, and accounting information systems through rigorous research and teaching.</t>
        </is>
      </c>
      <c r="E118" s="127" t="n">
        <v>4</v>
      </c>
      <c r="F118" s="127" t="n">
        <v>23</v>
      </c>
      <c r="G118" s="90" t="inlineStr">
        <is>
          <t>https://mccombs.utexas.edu/faculty-research/departments/</t>
        </is>
      </c>
    </row>
    <row r="119" ht="45" customHeight="1" s="91">
      <c r="A119" s="128" t="n">
        <v>16</v>
      </c>
      <c r="B119" s="128" t="inlineStr">
        <is>
          <t>UT McCombs</t>
        </is>
      </c>
      <c r="C119" s="128" t="inlineStr">
        <is>
          <t>Business, Government &amp; Society</t>
        </is>
      </c>
      <c r="D119" s="128" t="inlineStr">
        <is>
          <t>Contributing to the advancement of business knowledge through rigorous research and impactful teaching.</t>
        </is>
      </c>
      <c r="E119" s="128" t="n">
        <v>4</v>
      </c>
      <c r="F119" s="128" t="n">
        <v>11</v>
      </c>
      <c r="G119" s="90" t="inlineStr">
        <is>
          <t>https://mccombs.utexas.edu/faculty-research/departments/</t>
        </is>
      </c>
    </row>
    <row r="120" ht="45" customHeight="1" s="91">
      <c r="A120" s="127" t="n">
        <v>16</v>
      </c>
      <c r="B120" s="127" t="inlineStr">
        <is>
          <t>UT McCombs</t>
        </is>
      </c>
      <c r="C120" s="127" t="inlineStr">
        <is>
          <t>Finance</t>
        </is>
      </c>
      <c r="D120" s="127" t="inlineStr">
        <is>
          <t>Conducting cutting-edge research in financial markets, corporate finance, and asset pricing to inform practice and policy.</t>
        </is>
      </c>
      <c r="E120" s="127" t="n">
        <v>4</v>
      </c>
      <c r="F120" s="127" t="n">
        <v>30</v>
      </c>
      <c r="G120" s="90" t="inlineStr">
        <is>
          <t>https://mccombs.utexas.edu/faculty-research/departments/</t>
        </is>
      </c>
    </row>
    <row r="121" ht="45" customHeight="1" s="91">
      <c r="A121" s="128" t="n">
        <v>16</v>
      </c>
      <c r="B121" s="128" t="inlineStr">
        <is>
          <t>UT McCombs</t>
        </is>
      </c>
      <c r="C121" s="128" t="inlineStr">
        <is>
          <t>Information, Risk, and Operations Management (IROM)</t>
        </is>
      </c>
      <c r="D121" s="128" t="inlineStr">
        <is>
          <t>Optimizing business processes, supply chains, and decision analytics to improve organizational efficiency and effectiveness.</t>
        </is>
      </c>
      <c r="E121" s="128" t="n">
        <v>4</v>
      </c>
      <c r="F121" s="128" t="n">
        <v>37</v>
      </c>
      <c r="G121" s="90" t="inlineStr">
        <is>
          <t>https://www.mccombs.utexas.edu/faculty-research/departments/irom/</t>
        </is>
      </c>
    </row>
    <row r="122" ht="45" customHeight="1" s="91">
      <c r="A122" s="127" t="n">
        <v>16</v>
      </c>
      <c r="B122" s="127" t="inlineStr">
        <is>
          <t>UT McCombs</t>
        </is>
      </c>
      <c r="C122" s="127" t="inlineStr">
        <is>
          <t>Management</t>
        </is>
      </c>
      <c r="D122" s="127" t="inlineStr">
        <is>
          <t>Studying organizational dynamics, leadership, and strategic decision-making to develop effective management practices.</t>
        </is>
      </c>
      <c r="E122" s="127" t="n">
        <v>4</v>
      </c>
      <c r="F122" s="127" t="n">
        <v>25</v>
      </c>
      <c r="G122" s="90" t="inlineStr">
        <is>
          <t>https://mccombs.utexas.edu/faculty-research/departments/</t>
        </is>
      </c>
    </row>
    <row r="123" ht="45" customHeight="1" s="91">
      <c r="A123" s="128" t="n">
        <v>16</v>
      </c>
      <c r="B123" s="128" t="inlineStr">
        <is>
          <t>UT McCombs</t>
        </is>
      </c>
      <c r="C123" s="128" t="inlineStr">
        <is>
          <t>Marketing</t>
        </is>
      </c>
      <c r="D123" s="128" t="inlineStr">
        <is>
          <t>Generating insights into consumer behavior, market dynamics, and marketing strategy through innovative research methodologies.</t>
        </is>
      </c>
      <c r="E123" s="128" t="n">
        <v>4</v>
      </c>
      <c r="F123" s="128" t="n">
        <v>22</v>
      </c>
      <c r="G123" s="90" t="inlineStr">
        <is>
          <t>https://mccombs.utexas.edu/faculty-research/departments/</t>
        </is>
      </c>
    </row>
    <row r="124" ht="45" customHeight="1" s="91">
      <c r="A124" s="127" t="n">
        <v>17</v>
      </c>
      <c r="B124" s="127" t="inlineStr">
        <is>
          <t>Emory Goizueta</t>
        </is>
      </c>
      <c r="C124" s="127" t="inlineStr">
        <is>
          <t>Accounting</t>
        </is>
      </c>
      <c r="D124" s="127" t="inlineStr">
        <is>
          <t>Advancing knowledge in financial reporting, auditing, taxation, and accounting information systems through rigorous research and teaching.</t>
        </is>
      </c>
      <c r="E124" s="127" t="n">
        <v>4</v>
      </c>
      <c r="F124" s="127" t="n">
        <v>10</v>
      </c>
      <c r="G124" s="90" t="inlineStr">
        <is>
          <t>https://goizueta.emory.edu/faculty/accounting</t>
        </is>
      </c>
    </row>
    <row r="125" ht="45" customHeight="1" s="91">
      <c r="A125" s="128" t="n">
        <v>17</v>
      </c>
      <c r="B125" s="128" t="inlineStr">
        <is>
          <t>Emory Goizueta</t>
        </is>
      </c>
      <c r="C125" s="128" t="inlineStr">
        <is>
          <t>Finance</t>
        </is>
      </c>
      <c r="D125" s="128" t="inlineStr">
        <is>
          <t>Conducting cutting-edge research in financial markets, corporate finance, and asset pricing to inform practice and policy.</t>
        </is>
      </c>
      <c r="E125" s="128" t="n">
        <v>4</v>
      </c>
      <c r="F125" s="128" t="n">
        <v>12</v>
      </c>
      <c r="G125" s="90" t="inlineStr">
        <is>
          <t>https://goizueta.emory.edu/faculty/finance</t>
        </is>
      </c>
    </row>
    <row r="126" ht="45" customHeight="1" s="91">
      <c r="A126" s="127" t="n">
        <v>17</v>
      </c>
      <c r="B126" s="127" t="inlineStr">
        <is>
          <t>Emory Goizueta</t>
        </is>
      </c>
      <c r="C126" s="127" t="inlineStr">
        <is>
          <t>Information Systems &amp; Operations Management (ISOM)</t>
        </is>
      </c>
      <c r="D126" s="127" t="inlineStr">
        <is>
          <t>Optimizing business processes, supply chains, and decision analytics to improve organizational efficiency and effectiveness.</t>
        </is>
      </c>
      <c r="E126" s="127" t="n">
        <v>4</v>
      </c>
      <c r="F126" s="127" t="n">
        <v>22</v>
      </c>
      <c r="G126" s="90" t="inlineStr">
        <is>
          <t>https://goizueta.emory.edu/faculty/isom</t>
        </is>
      </c>
    </row>
    <row r="127" ht="45" customHeight="1" s="91">
      <c r="A127" s="128" t="n">
        <v>17</v>
      </c>
      <c r="B127" s="128" t="inlineStr">
        <is>
          <t>Emory Goizueta</t>
        </is>
      </c>
      <c r="C127" s="128" t="inlineStr">
        <is>
          <t>Marketing</t>
        </is>
      </c>
      <c r="D127" s="128" t="inlineStr">
        <is>
          <t>Generating insights into consumer behavior, market dynamics, and marketing strategy through innovative research methodologies.</t>
        </is>
      </c>
      <c r="E127" s="128" t="n">
        <v>4</v>
      </c>
      <c r="F127" s="128" t="n">
        <v>10</v>
      </c>
      <c r="G127" s="90" t="inlineStr">
        <is>
          <t>https://goizueta.emory.edu/faculty/marketing</t>
        </is>
      </c>
    </row>
    <row r="128" ht="45" customHeight="1" s="91">
      <c r="A128" s="127" t="n">
        <v>17</v>
      </c>
      <c r="B128" s="127" t="inlineStr">
        <is>
          <t>Emory Goizueta</t>
        </is>
      </c>
      <c r="C128" s="127" t="inlineStr">
        <is>
          <t>Organization &amp; Management</t>
        </is>
      </c>
      <c r="D128" s="127" t="inlineStr">
        <is>
          <t>Investigating human behavior in organizations, including motivation, group dynamics, leadership, and organizational culture.</t>
        </is>
      </c>
      <c r="E128" s="127" t="n">
        <v>4</v>
      </c>
      <c r="F128" s="127" t="n">
        <v>11</v>
      </c>
      <c r="G128" s="90" t="inlineStr">
        <is>
          <t>https://goizueta.emory.edu/faculty/organization-management</t>
        </is>
      </c>
    </row>
    <row r="129" ht="45" customHeight="1" s="91">
      <c r="A129" s="128" t="n">
        <v>18</v>
      </c>
      <c r="B129" s="128" t="inlineStr">
        <is>
          <t>CMU Tepper</t>
        </is>
      </c>
      <c r="C129" s="128" t="inlineStr">
        <is>
          <t>Accounting</t>
        </is>
      </c>
      <c r="D129" s="128" t="inlineStr">
        <is>
          <t>Advancing knowledge in financial reporting, auditing, taxation, and accounting information systems through rigorous research and teaching.</t>
        </is>
      </c>
      <c r="E129" s="128" t="n">
        <v>4</v>
      </c>
      <c r="F129" s="128" t="n">
        <v>5</v>
      </c>
      <c r="G129" s="90" t="inlineStr">
        <is>
          <t>https://cmu.edu/tepper/faculty-and-research/academic-areas</t>
        </is>
      </c>
    </row>
    <row r="130" ht="45" customHeight="1" s="91">
      <c r="A130" s="127" t="n">
        <v>18</v>
      </c>
      <c r="B130" s="127" t="inlineStr">
        <is>
          <t>CMU Tepper</t>
        </is>
      </c>
      <c r="C130" s="127" t="inlineStr">
        <is>
          <t>Economics</t>
        </is>
      </c>
      <c r="D130" s="127" t="inlineStr">
        <is>
          <t>Applying economic theory and empirical methods to understand business environments, policy impacts, and market behavior.</t>
        </is>
      </c>
      <c r="E130" s="127" t="n">
        <v>4</v>
      </c>
      <c r="F130" s="127" t="n">
        <v>21</v>
      </c>
      <c r="G130" s="90" t="inlineStr">
        <is>
          <t>https://cmu.edu/tepper/faculty-and-research/academic-areas</t>
        </is>
      </c>
    </row>
    <row r="131" ht="45" customHeight="1" s="91">
      <c r="A131" s="128" t="n">
        <v>18</v>
      </c>
      <c r="B131" s="128" t="inlineStr">
        <is>
          <t>CMU Tepper</t>
        </is>
      </c>
      <c r="C131" s="128" t="inlineStr">
        <is>
          <t>Finance</t>
        </is>
      </c>
      <c r="D131" s="128" t="inlineStr">
        <is>
          <t>Conducting cutting-edge research in financial markets, corporate finance, and asset pricing to inform practice and policy.</t>
        </is>
      </c>
      <c r="E131" s="128" t="n">
        <v>4</v>
      </c>
      <c r="F131" s="128" t="n">
        <v>12</v>
      </c>
      <c r="G131" s="90" t="inlineStr">
        <is>
          <t>https://cmu.edu/tepper/faculty-and-research/academic-areas</t>
        </is>
      </c>
    </row>
    <row r="132" ht="45" customHeight="1" s="91">
      <c r="A132" s="127" t="n">
        <v>18</v>
      </c>
      <c r="B132" s="127" t="inlineStr">
        <is>
          <t>CMU Tepper</t>
        </is>
      </c>
      <c r="C132" s="127" t="inlineStr">
        <is>
          <t>Marketing</t>
        </is>
      </c>
      <c r="D132" s="127" t="inlineStr">
        <is>
          <t>Generating insights into consumer behavior, market dynamics, and marketing strategy through innovative research methodologies.</t>
        </is>
      </c>
      <c r="E132" s="127" t="n">
        <v>4</v>
      </c>
      <c r="F132" s="127" t="n">
        <v>8</v>
      </c>
      <c r="G132" s="90" t="inlineStr">
        <is>
          <t>https://cmu.edu/tepper/faculty-and-research/academic-areas</t>
        </is>
      </c>
    </row>
    <row r="133" ht="45" customHeight="1" s="91">
      <c r="A133" s="128" t="n">
        <v>18</v>
      </c>
      <c r="B133" s="128" t="inlineStr">
        <is>
          <t>CMU Tepper</t>
        </is>
      </c>
      <c r="C133" s="128" t="inlineStr">
        <is>
          <t>Operations Management</t>
        </is>
      </c>
      <c r="D133" s="128" t="inlineStr">
        <is>
          <t>Optimizing business processes, supply chains, and decision analytics to improve organizational efficiency and effectiveness.</t>
        </is>
      </c>
      <c r="E133" s="128" t="n">
        <v>4</v>
      </c>
      <c r="F133" s="128" t="n">
        <v>10</v>
      </c>
      <c r="G133" s="90" t="inlineStr">
        <is>
          <t>https://www.cmu.edu/tepper/faculty-and-research/academic-areas/operations-management/</t>
        </is>
      </c>
    </row>
    <row r="134" ht="45" customHeight="1" s="91">
      <c r="A134" s="127" t="n">
        <v>18</v>
      </c>
      <c r="B134" s="127" t="inlineStr">
        <is>
          <t>CMU Tepper</t>
        </is>
      </c>
      <c r="C134" s="127" t="inlineStr">
        <is>
          <t>Operations Research</t>
        </is>
      </c>
      <c r="D134" s="127" t="inlineStr">
        <is>
          <t>Optimizing business processes, supply chains, and decision analytics to improve organizational efficiency and effectiveness.</t>
        </is>
      </c>
      <c r="E134" s="127" t="n">
        <v>4</v>
      </c>
      <c r="F134" s="127" t="n">
        <v>10</v>
      </c>
      <c r="G134" s="90" t="inlineStr">
        <is>
          <t>https://www.cmu.edu/tepper/faculty-and-research/academic-areas/operations-research/</t>
        </is>
      </c>
    </row>
    <row r="135" ht="45" customHeight="1" s="91">
      <c r="A135" s="128" t="n">
        <v>18</v>
      </c>
      <c r="B135" s="128" t="inlineStr">
        <is>
          <t>CMU Tepper</t>
        </is>
      </c>
      <c r="C135" s="128" t="inlineStr">
        <is>
          <t>Organizational Behavior &amp; Theory</t>
        </is>
      </c>
      <c r="D135" s="128" t="inlineStr">
        <is>
          <t>Investigating human behavior in organizations, including motivation, group dynamics, leadership, and organizational culture.</t>
        </is>
      </c>
      <c r="E135" s="128" t="n">
        <v>4</v>
      </c>
      <c r="F135" s="128" t="n">
        <v>6</v>
      </c>
      <c r="G135" s="90" t="inlineStr">
        <is>
          <t>https://cmu.edu/tepper/faculty-and-research/academic-areas</t>
        </is>
      </c>
    </row>
    <row r="136" ht="45" customHeight="1" s="91">
      <c r="A136" s="127" t="n">
        <v>19</v>
      </c>
      <c r="B136" s="127" t="inlineStr">
        <is>
          <t>UCLA Anderson</t>
        </is>
      </c>
      <c r="C136" s="127" t="inlineStr">
        <is>
          <t>Accounting</t>
        </is>
      </c>
      <c r="D136" s="127" t="inlineStr">
        <is>
          <t>Advancing knowledge in financial reporting, auditing, taxation, and accounting information systems through rigorous research and teaching.</t>
        </is>
      </c>
      <c r="E136" s="127" t="n">
        <v>4</v>
      </c>
      <c r="F136" s="127" t="n">
        <v>5</v>
      </c>
      <c r="G136" s="90" t="inlineStr">
        <is>
          <t>https://anderson.ucla.edu/degrees/phd-program/areas-of-study</t>
        </is>
      </c>
    </row>
    <row r="137" ht="45" customHeight="1" s="91">
      <c r="A137" s="128" t="n">
        <v>19</v>
      </c>
      <c r="B137" s="128" t="inlineStr">
        <is>
          <t>UCLA Anderson</t>
        </is>
      </c>
      <c r="C137" s="128" t="inlineStr">
        <is>
          <t>Behavioral Decision Making</t>
        </is>
      </c>
      <c r="D137" s="128" t="inlineStr">
        <is>
          <t>Applying economic theory and empirical methods to understand business environments, policy impacts, and market behavior.</t>
        </is>
      </c>
      <c r="E137" s="128" t="n">
        <v>4</v>
      </c>
      <c r="F137" s="128" t="n">
        <v>5</v>
      </c>
      <c r="G137" s="90" t="inlineStr">
        <is>
          <t>https://www.anderson.ucla.edu/faculty-and-research/behavioral-decision-making</t>
        </is>
      </c>
    </row>
    <row r="138" ht="45" customHeight="1" s="91">
      <c r="A138" s="127" t="n">
        <v>19</v>
      </c>
      <c r="B138" s="127" t="inlineStr">
        <is>
          <t>UCLA Anderson</t>
        </is>
      </c>
      <c r="C138" s="127" t="inlineStr">
        <is>
          <t>Decisions, Operations and Technology Management (DOTM)</t>
        </is>
      </c>
      <c r="D138" s="127" t="inlineStr">
        <is>
          <t>Optimizing business processes, supply chains, and decision analytics to improve organizational efficiency and effectiveness.</t>
        </is>
      </c>
      <c r="E138" s="127" t="n">
        <v>4</v>
      </c>
      <c r="F138" s="127" t="n">
        <v>10</v>
      </c>
      <c r="G138" s="90" t="inlineStr">
        <is>
          <t>https://www.anderson.ucla.edu/faculty-and-research/decisions-operations-and-technology-management</t>
        </is>
      </c>
    </row>
    <row r="139" ht="45" customHeight="1" s="91">
      <c r="A139" s="128" t="n">
        <v>19</v>
      </c>
      <c r="B139" s="128" t="inlineStr">
        <is>
          <t>UCLA Anderson</t>
        </is>
      </c>
      <c r="C139" s="128" t="inlineStr">
        <is>
          <t>Finance</t>
        </is>
      </c>
      <c r="D139" s="128" t="inlineStr">
        <is>
          <t>Conducting cutting-edge research in financial markets, corporate finance, and asset pricing to inform practice and policy.</t>
        </is>
      </c>
      <c r="E139" s="128" t="n">
        <v>4</v>
      </c>
      <c r="F139" s="128" t="n">
        <v>13</v>
      </c>
      <c r="G139" s="90" t="inlineStr">
        <is>
          <t>https://anderson.ucla.edu/degrees/phd-program/areas-of-study</t>
        </is>
      </c>
    </row>
    <row r="140" ht="45" customHeight="1" s="91">
      <c r="A140" s="127" t="n">
        <v>19</v>
      </c>
      <c r="B140" s="127" t="inlineStr">
        <is>
          <t>UCLA Anderson</t>
        </is>
      </c>
      <c r="C140" s="127" t="inlineStr">
        <is>
          <t>Global Economics &amp; Management</t>
        </is>
      </c>
      <c r="D140" s="127" t="inlineStr">
        <is>
          <t>Applying economic theory and empirical methods to understand business environments, policy impacts, and market behavior.</t>
        </is>
      </c>
      <c r="E140" s="127" t="n">
        <v>4</v>
      </c>
      <c r="F140" s="127" t="n">
        <v>4</v>
      </c>
      <c r="G140" s="90" t="inlineStr">
        <is>
          <t>https://anderson.ucla.edu/degrees/phd-program/areas-of-study</t>
        </is>
      </c>
    </row>
    <row r="141" ht="45" customHeight="1" s="91">
      <c r="A141" s="128" t="n">
        <v>19</v>
      </c>
      <c r="B141" s="128" t="inlineStr">
        <is>
          <t>UCLA Anderson</t>
        </is>
      </c>
      <c r="C141" s="128" t="inlineStr">
        <is>
          <t>Management &amp; Organizations</t>
        </is>
      </c>
      <c r="D141" s="128" t="inlineStr">
        <is>
          <t>Investigating human behavior in organizations, including motivation, group dynamics, leadership, and organizational culture.</t>
        </is>
      </c>
      <c r="E141" s="128" t="n">
        <v>4</v>
      </c>
      <c r="F141" s="128" t="n">
        <v>14</v>
      </c>
      <c r="G141" s="90" t="inlineStr">
        <is>
          <t>https://anderson.ucla.edu/degrees/phd-program/areas-of-study</t>
        </is>
      </c>
    </row>
    <row r="142" ht="45" customHeight="1" s="91">
      <c r="A142" s="127" t="n">
        <v>19</v>
      </c>
      <c r="B142" s="127" t="inlineStr">
        <is>
          <t>UCLA Anderson</t>
        </is>
      </c>
      <c r="C142" s="127" t="inlineStr">
        <is>
          <t>Marketing</t>
        </is>
      </c>
      <c r="D142" s="127" t="inlineStr">
        <is>
          <t>Generating insights into consumer behavior, market dynamics, and marketing strategy through innovative research methodologies.</t>
        </is>
      </c>
      <c r="E142" s="127" t="n">
        <v>4</v>
      </c>
      <c r="F142" s="127" t="n">
        <v>14</v>
      </c>
      <c r="G142" s="90" t="inlineStr">
        <is>
          <t>https://anderson.ucla.edu/degrees/phd-program/areas-of-study</t>
        </is>
      </c>
    </row>
    <row r="143" ht="45" customHeight="1" s="91">
      <c r="A143" s="128" t="n">
        <v>19</v>
      </c>
      <c r="B143" s="128" t="inlineStr">
        <is>
          <t>UCLA Anderson</t>
        </is>
      </c>
      <c r="C143" s="128" t="inlineStr">
        <is>
          <t>Strategy</t>
        </is>
      </c>
      <c r="D143" s="128" t="inlineStr">
        <is>
          <t>Researching competitive dynamics, corporate strategy, and innovation to help firms achieve sustainable advantage.</t>
        </is>
      </c>
      <c r="E143" s="128" t="n">
        <v>4</v>
      </c>
      <c r="F143" s="128" t="n">
        <v>10</v>
      </c>
      <c r="G143" s="90" t="inlineStr">
        <is>
          <t>https://anderson.ucla.edu/degrees/phd-program/areas-of-study</t>
        </is>
      </c>
    </row>
    <row r="144" ht="45" customHeight="1" s="91">
      <c r="A144" s="127" t="n">
        <v>20</v>
      </c>
      <c r="B144" s="127" t="inlineStr">
        <is>
          <t>Vanderbilt Owen</t>
        </is>
      </c>
      <c r="C144" s="127" t="inlineStr">
        <is>
          <t>Accounting</t>
        </is>
      </c>
      <c r="D144" s="127" t="inlineStr">
        <is>
          <t>Advancing knowledge in financial reporting, auditing, taxation, and accounting information systems through rigorous research and teaching.</t>
        </is>
      </c>
      <c r="E144" s="127" t="n">
        <v>4</v>
      </c>
      <c r="F144" s="127" t="n">
        <v>5</v>
      </c>
      <c r="G144" s="90" t="inlineStr">
        <is>
          <t>https://business.vanderbilt.edu/faculty/accounting/</t>
        </is>
      </c>
    </row>
    <row r="145" ht="45" customHeight="1" s="91">
      <c r="A145" s="128" t="n">
        <v>20</v>
      </c>
      <c r="B145" s="128" t="inlineStr">
        <is>
          <t>Vanderbilt Owen</t>
        </is>
      </c>
      <c r="C145" s="128" t="inlineStr">
        <is>
          <t>Finance</t>
        </is>
      </c>
      <c r="D145" s="128" t="inlineStr">
        <is>
          <t>Conducting cutting-edge research in financial markets, corporate finance, and asset pricing to inform practice and policy.</t>
        </is>
      </c>
      <c r="E145" s="128" t="n">
        <v>4</v>
      </c>
      <c r="F145" s="128" t="n">
        <v>10</v>
      </c>
      <c r="G145" s="90" t="inlineStr">
        <is>
          <t>https://business.vanderbilt.edu/faculty/finance/</t>
        </is>
      </c>
    </row>
    <row r="146" ht="45" customHeight="1" s="91">
      <c r="A146" s="127" t="n">
        <v>20</v>
      </c>
      <c r="B146" s="127" t="inlineStr">
        <is>
          <t>Vanderbilt Owen</t>
        </is>
      </c>
      <c r="C146" s="127" t="inlineStr">
        <is>
          <t>Marketing</t>
        </is>
      </c>
      <c r="D146" s="127" t="inlineStr">
        <is>
          <t>Generating insights into consumer behavior, market dynamics, and marketing strategy through innovative research methodologies.</t>
        </is>
      </c>
      <c r="E146" s="127" t="n">
        <v>4</v>
      </c>
      <c r="F146" s="127" t="n">
        <v>8</v>
      </c>
      <c r="G146" s="90" t="inlineStr">
        <is>
          <t>https://business.vanderbilt.edu/faculty/marketing/</t>
        </is>
      </c>
    </row>
    <row r="147" ht="45" customHeight="1" s="91">
      <c r="A147" s="128" t="n">
        <v>20</v>
      </c>
      <c r="B147" s="128" t="inlineStr">
        <is>
          <t>Vanderbilt Owen</t>
        </is>
      </c>
      <c r="C147" s="128" t="inlineStr">
        <is>
          <t>Operations Management</t>
        </is>
      </c>
      <c r="D147" s="128" t="inlineStr">
        <is>
          <t>Optimizing business processes, supply chains, and decision analytics to improve organizational efficiency and effectiveness.</t>
        </is>
      </c>
      <c r="E147" s="128" t="n">
        <v>4</v>
      </c>
      <c r="F147" s="128" t="n">
        <v>7</v>
      </c>
      <c r="G147" s="90" t="inlineStr">
        <is>
          <t>https://business.vanderbilt.edu/our-school/faculty/operations/</t>
        </is>
      </c>
    </row>
    <row r="148" ht="45" customHeight="1" s="91">
      <c r="A148" s="127" t="n">
        <v>20</v>
      </c>
      <c r="B148" s="127" t="inlineStr">
        <is>
          <t>Vanderbilt Owen</t>
        </is>
      </c>
      <c r="C148" s="127" t="inlineStr">
        <is>
          <t>Organization Studies</t>
        </is>
      </c>
      <c r="D148" s="127" t="inlineStr">
        <is>
          <t>Investigating human behavior in organizations, including motivation, group dynamics, leadership, and organizational culture.</t>
        </is>
      </c>
      <c r="E148" s="127" t="n">
        <v>4</v>
      </c>
      <c r="F148" s="127" t="n">
        <v>12</v>
      </c>
      <c r="G148" s="90" t="inlineStr">
        <is>
          <t>https://business.vanderbilt.edu/faculty/organizational-behavior/</t>
        </is>
      </c>
    </row>
    <row r="149" ht="45" customHeight="1" s="91">
      <c r="A149" s="128" t="n">
        <v>20</v>
      </c>
      <c r="B149" s="128" t="inlineStr">
        <is>
          <t>Vanderbilt Owen</t>
        </is>
      </c>
      <c r="C149" s="128" t="inlineStr">
        <is>
          <t>Strategy</t>
        </is>
      </c>
      <c r="D149" s="128" t="inlineStr">
        <is>
          <t>Researching competitive dynamics, corporate strategy, and innovation to help firms achieve sustainable advantage.</t>
        </is>
      </c>
      <c r="E149" s="128" t="n">
        <v>4</v>
      </c>
      <c r="F149" s="128" t="n">
        <v>4</v>
      </c>
      <c r="G149" s="90" t="inlineStr">
        <is>
          <t>https://business.vanderbilt.edu/faculty/strategy/</t>
        </is>
      </c>
    </row>
    <row r="150" ht="45" customHeight="1" s="91">
      <c r="A150" s="127" t="n">
        <v>21</v>
      </c>
      <c r="B150" s="127" t="inlineStr">
        <is>
          <t>WashU Olin</t>
        </is>
      </c>
      <c r="C150" s="127" t="inlineStr">
        <is>
          <t>Accounting</t>
        </is>
      </c>
      <c r="D150" s="127" t="inlineStr">
        <is>
          <t>Advancing knowledge in financial reporting, auditing, taxation, and accounting information systems through rigorous research and teaching.</t>
        </is>
      </c>
      <c r="E150" s="127" t="n">
        <v>4</v>
      </c>
      <c r="F150" s="127" t="n">
        <v>9</v>
      </c>
      <c r="G150" s="90" t="inlineStr">
        <is>
          <t>https://olin.wustl.edu/faculty-research/academic-areas/accounting/</t>
        </is>
      </c>
    </row>
    <row r="151" ht="45" customHeight="1" s="91">
      <c r="A151" s="128" t="n">
        <v>21</v>
      </c>
      <c r="B151" s="128" t="inlineStr">
        <is>
          <t>WashU Olin</t>
        </is>
      </c>
      <c r="C151" s="128" t="inlineStr">
        <is>
          <t>Economics &amp; Strategy</t>
        </is>
      </c>
      <c r="D151" s="128" t="inlineStr">
        <is>
          <t>Applying economic theory and empirical methods to understand business environments, policy impacts, and market behavior.</t>
        </is>
      </c>
      <c r="E151" s="128" t="n">
        <v>4</v>
      </c>
      <c r="F151" s="128" t="n">
        <v>10</v>
      </c>
      <c r="G151" s="90" t="inlineStr">
        <is>
          <t>https://olin.wustl.edu/faculty-research/academic-areas/economics-strategy/</t>
        </is>
      </c>
    </row>
    <row r="152" ht="45" customHeight="1" s="91">
      <c r="A152" s="127" t="n">
        <v>21</v>
      </c>
      <c r="B152" s="127" t="inlineStr">
        <is>
          <t>WashU Olin</t>
        </is>
      </c>
      <c r="C152" s="127" t="inlineStr">
        <is>
          <t>Finance</t>
        </is>
      </c>
      <c r="D152" s="127" t="inlineStr">
        <is>
          <t>Conducting cutting-edge research in financial markets, corporate finance, and asset pricing to inform practice and policy.</t>
        </is>
      </c>
      <c r="E152" s="127" t="n">
        <v>4</v>
      </c>
      <c r="F152" s="127" t="n">
        <v>20</v>
      </c>
      <c r="G152" s="90" t="inlineStr">
        <is>
          <t>https://olin.wustl.edu/faculty-research/academic-areas/finance/</t>
        </is>
      </c>
    </row>
    <row r="153" ht="45" customHeight="1" s="91">
      <c r="A153" s="128" t="n">
        <v>21</v>
      </c>
      <c r="B153" s="128" t="inlineStr">
        <is>
          <t>WashU Olin</t>
        </is>
      </c>
      <c r="C153" s="128" t="inlineStr">
        <is>
          <t>Marketing</t>
        </is>
      </c>
      <c r="D153" s="128" t="inlineStr">
        <is>
          <t>Generating insights into consumer behavior, market dynamics, and marketing strategy through innovative research methodologies.</t>
        </is>
      </c>
      <c r="E153" s="128" t="n">
        <v>4</v>
      </c>
      <c r="F153" s="128" t="n">
        <v>17</v>
      </c>
      <c r="G153" s="90" t="inlineStr">
        <is>
          <t>https://olin.wustl.edu/faculty-research/academic-areas/marketing/</t>
        </is>
      </c>
    </row>
    <row r="154" ht="45" customHeight="1" s="91">
      <c r="A154" s="127" t="n">
        <v>21</v>
      </c>
      <c r="B154" s="127" t="inlineStr">
        <is>
          <t>WashU Olin</t>
        </is>
      </c>
      <c r="C154" s="127" t="inlineStr">
        <is>
          <t>Organization &amp; Strategic Management</t>
        </is>
      </c>
      <c r="D154" s="127" t="inlineStr">
        <is>
          <t>Researching competitive dynamics, corporate strategy, and innovation to help firms achieve sustainable advantage.</t>
        </is>
      </c>
      <c r="E154" s="127" t="n">
        <v>4</v>
      </c>
      <c r="F154" s="127" t="n">
        <v>12</v>
      </c>
      <c r="G154" s="90" t="inlineStr">
        <is>
          <t>https://olin.wustl.edu/faculty-research/academic-areas/organization-strategic-management/</t>
        </is>
      </c>
    </row>
    <row r="155" ht="45" customHeight="1" s="91">
      <c r="A155" s="128" t="n">
        <v>21</v>
      </c>
      <c r="B155" s="128" t="inlineStr">
        <is>
          <t>WashU Olin</t>
        </is>
      </c>
      <c r="C155" s="128" t="inlineStr">
        <is>
          <t>Supply Chain, Operations and Technology</t>
        </is>
      </c>
      <c r="D155" s="128" t="inlineStr">
        <is>
          <t>Optimizing business processes, supply chains, and decision analytics to improve organizational efficiency and effectiveness.</t>
        </is>
      </c>
      <c r="E155" s="128" t="n">
        <v>4</v>
      </c>
      <c r="F155" s="128" t="n">
        <v>9</v>
      </c>
      <c r="G155" s="90" t="inlineStr">
        <is>
          <t>https://olin.wustl.edu/faculty-research/academic-areas/supply-chain-operations-technology/</t>
        </is>
      </c>
    </row>
    <row r="156" ht="45" customHeight="1" s="91">
      <c r="A156" s="127" t="n">
        <v>22</v>
      </c>
      <c r="B156" s="127" t="inlineStr">
        <is>
          <t>Georgetown MSOB</t>
        </is>
      </c>
      <c r="C156" s="127" t="inlineStr">
        <is>
          <t>Accounting &amp; Business Law</t>
        </is>
      </c>
      <c r="D156" s="127" t="inlineStr">
        <is>
          <t>Advancing knowledge in financial reporting, auditing, taxation, and accounting information systems through rigorous research and teaching.</t>
        </is>
      </c>
      <c r="E156" s="127" t="n">
        <v>4</v>
      </c>
      <c r="F156" s="127" t="n">
        <v>9</v>
      </c>
      <c r="G156" s="90" t="inlineStr">
        <is>
          <t>https://msb.georgetown.edu/faculty-research/</t>
        </is>
      </c>
    </row>
    <row r="157" ht="45" customHeight="1" s="91">
      <c r="A157" s="128" t="n">
        <v>22</v>
      </c>
      <c r="B157" s="128" t="inlineStr">
        <is>
          <t>Georgetown MSOB</t>
        </is>
      </c>
      <c r="C157" s="128" t="inlineStr">
        <is>
          <t>Finance</t>
        </is>
      </c>
      <c r="D157" s="128" t="inlineStr">
        <is>
          <t>Conducting cutting-edge research in financial markets, corporate finance, and asset pricing to inform practice and policy.</t>
        </is>
      </c>
      <c r="E157" s="128" t="n">
        <v>4</v>
      </c>
      <c r="F157" s="128" t="n">
        <v>17</v>
      </c>
      <c r="G157" s="90" t="inlineStr">
        <is>
          <t>https://msb.georgetown.edu/faculty-research/</t>
        </is>
      </c>
    </row>
    <row r="158" ht="45" customHeight="1" s="91">
      <c r="A158" s="127" t="n">
        <v>22</v>
      </c>
      <c r="B158" s="127" t="inlineStr">
        <is>
          <t>Georgetown MSOB</t>
        </is>
      </c>
      <c r="C158" s="127" t="inlineStr">
        <is>
          <t>Management</t>
        </is>
      </c>
      <c r="D158" s="127" t="inlineStr">
        <is>
          <t>Studying organizational dynamics, leadership, and strategic decision-making to develop effective management practices.</t>
        </is>
      </c>
      <c r="E158" s="127" t="n">
        <v>4</v>
      </c>
      <c r="F158" s="127" t="n">
        <v>11</v>
      </c>
      <c r="G158" s="90" t="inlineStr">
        <is>
          <t>https://msb.georgetown.edu/faculty-research/</t>
        </is>
      </c>
    </row>
    <row r="159" ht="45" customHeight="1" s="91">
      <c r="A159" s="128" t="n">
        <v>22</v>
      </c>
      <c r="B159" s="128" t="inlineStr">
        <is>
          <t>Georgetown MSOB</t>
        </is>
      </c>
      <c r="C159" s="128" t="inlineStr">
        <is>
          <t>Marketing</t>
        </is>
      </c>
      <c r="D159" s="128" t="inlineStr">
        <is>
          <t>Generating insights into consumer behavior, market dynamics, and marketing strategy through innovative research methodologies.</t>
        </is>
      </c>
      <c r="E159" s="128" t="n">
        <v>4</v>
      </c>
      <c r="F159" s="128" t="n">
        <v>12</v>
      </c>
      <c r="G159" s="90" t="inlineStr">
        <is>
          <t>https://msb.georgetown.edu/faculty-research/</t>
        </is>
      </c>
    </row>
    <row r="160" ht="45" customHeight="1" s="91">
      <c r="A160" s="127" t="n">
        <v>22</v>
      </c>
      <c r="B160" s="127" t="inlineStr">
        <is>
          <t>Georgetown MSOB</t>
        </is>
      </c>
      <c r="C160" s="127" t="inlineStr">
        <is>
          <t>Operations and Analytics (OPAN)</t>
        </is>
      </c>
      <c r="D160" s="127" t="inlineStr">
        <is>
          <t>Optimizing business processes, supply chains, and decision analytics to improve organizational efficiency and effectiveness.</t>
        </is>
      </c>
      <c r="E160" s="127" t="n">
        <v>4</v>
      </c>
      <c r="F160" s="127" t="n">
        <v>16</v>
      </c>
      <c r="G160" s="90" t="inlineStr">
        <is>
          <t>https://msb.georgetown.edu/faculty-research/operations-analytics/</t>
        </is>
      </c>
    </row>
    <row r="161" ht="45" customHeight="1" s="91">
      <c r="A161" s="128" t="n">
        <v>22</v>
      </c>
      <c r="B161" s="128" t="inlineStr">
        <is>
          <t>Georgetown MSOB</t>
        </is>
      </c>
      <c r="C161" s="128" t="inlineStr">
        <is>
          <t>Strategy</t>
        </is>
      </c>
      <c r="D161" s="128" t="inlineStr">
        <is>
          <t>Researching competitive dynamics, corporate strategy, and innovation to help firms achieve sustainable advantage.</t>
        </is>
      </c>
      <c r="E161" s="128" t="n">
        <v>4</v>
      </c>
      <c r="F161" s="128" t="n">
        <v>9</v>
      </c>
      <c r="G161" s="90" t="inlineStr">
        <is>
          <t>https://msb.georgetown.edu/faculty-research/</t>
        </is>
      </c>
    </row>
    <row r="162" ht="45" customHeight="1" s="91">
      <c r="A162" s="127" t="n">
        <v>23</v>
      </c>
      <c r="B162" s="127" t="inlineStr">
        <is>
          <t>Indiana Kelley</t>
        </is>
      </c>
      <c r="C162" s="127" t="inlineStr">
        <is>
          <t>Accounting</t>
        </is>
      </c>
      <c r="D162" s="127" t="inlineStr">
        <is>
          <t>Advancing knowledge in financial reporting, auditing, taxation, and accounting information systems through rigorous research and teaching.</t>
        </is>
      </c>
      <c r="E162" s="127" t="n">
        <v>4</v>
      </c>
      <c r="F162" s="127" t="n">
        <v>31</v>
      </c>
      <c r="G162" s="90" t="inlineStr">
        <is>
          <t>https://kelley.iu.edu/faculty-research/departments/</t>
        </is>
      </c>
    </row>
    <row r="163" ht="45" customHeight="1" s="91">
      <c r="A163" s="128" t="n">
        <v>23</v>
      </c>
      <c r="B163" s="128" t="inlineStr">
        <is>
          <t>Indiana Kelley</t>
        </is>
      </c>
      <c r="C163" s="128" t="inlineStr">
        <is>
          <t>Business Economics &amp; Public Policy</t>
        </is>
      </c>
      <c r="D163" s="128" t="inlineStr">
        <is>
          <t>Applying economic theory and empirical methods to understand business environments, policy impacts, and market behavior.</t>
        </is>
      </c>
      <c r="E163" s="128" t="n">
        <v>4</v>
      </c>
      <c r="F163" s="128" t="n">
        <v>18</v>
      </c>
      <c r="G163" s="90" t="inlineStr">
        <is>
          <t>https://kelley.iu.edu/faculty-research/departments/</t>
        </is>
      </c>
    </row>
    <row r="164" ht="45" customHeight="1" s="91">
      <c r="A164" s="127" t="n">
        <v>23</v>
      </c>
      <c r="B164" s="127" t="inlineStr">
        <is>
          <t>Indiana Kelley</t>
        </is>
      </c>
      <c r="C164" s="127" t="inlineStr">
        <is>
          <t>Business Law &amp; Ethics</t>
        </is>
      </c>
      <c r="D164" s="127" t="inlineStr">
        <is>
          <t>Contributing to the advancement of business knowledge through rigorous research and impactful teaching.</t>
        </is>
      </c>
      <c r="E164" s="127" t="n">
        <v>4</v>
      </c>
      <c r="F164" s="127" t="n">
        <v>16</v>
      </c>
      <c r="G164" s="90" t="inlineStr">
        <is>
          <t>https://kelley.iu.edu/faculty-research/departments/</t>
        </is>
      </c>
    </row>
    <row r="165" ht="45" customHeight="1" s="91">
      <c r="A165" s="128" t="n">
        <v>23</v>
      </c>
      <c r="B165" s="128" t="inlineStr">
        <is>
          <t>Indiana Kelley</t>
        </is>
      </c>
      <c r="C165" s="128" t="inlineStr">
        <is>
          <t>Finance</t>
        </is>
      </c>
      <c r="D165" s="128" t="inlineStr">
        <is>
          <t>Conducting cutting-edge research in financial markets, corporate finance, and asset pricing to inform practice and policy.</t>
        </is>
      </c>
      <c r="E165" s="128" t="n">
        <v>4</v>
      </c>
      <c r="F165" s="128" t="n">
        <v>30</v>
      </c>
      <c r="G165" s="90" t="inlineStr">
        <is>
          <t>https://kelley.iu.edu/faculty-research/departments/</t>
        </is>
      </c>
    </row>
    <row r="166" ht="45" customHeight="1" s="91">
      <c r="A166" s="127" t="n">
        <v>23</v>
      </c>
      <c r="B166" s="127" t="inlineStr">
        <is>
          <t>Indiana Kelley</t>
        </is>
      </c>
      <c r="C166" s="127" t="inlineStr">
        <is>
          <t>Management &amp; Entrepreneurship</t>
        </is>
      </c>
      <c r="D166" s="127" t="inlineStr">
        <is>
          <t>Studying organizational dynamics, leadership, and strategic decision-making to develop effective management practices.</t>
        </is>
      </c>
      <c r="E166" s="127" t="n">
        <v>4</v>
      </c>
      <c r="F166" s="127" t="n">
        <v>34</v>
      </c>
      <c r="G166" s="90" t="inlineStr">
        <is>
          <t>https://kelley.iu.edu/faculty-research/departments/</t>
        </is>
      </c>
    </row>
    <row r="167" ht="45" customHeight="1" s="91">
      <c r="A167" s="128" t="n">
        <v>23</v>
      </c>
      <c r="B167" s="128" t="inlineStr">
        <is>
          <t>Indiana Kelley</t>
        </is>
      </c>
      <c r="C167" s="128" t="inlineStr">
        <is>
          <t>Marketing</t>
        </is>
      </c>
      <c r="D167" s="128" t="inlineStr">
        <is>
          <t>Generating insights into consumer behavior, market dynamics, and marketing strategy through innovative research methodologies.</t>
        </is>
      </c>
      <c r="E167" s="128" t="n">
        <v>4</v>
      </c>
      <c r="F167" s="128" t="n">
        <v>25</v>
      </c>
      <c r="G167" s="90" t="inlineStr">
        <is>
          <t>https://kelley.iu.edu/faculty-research/departments/</t>
        </is>
      </c>
    </row>
    <row r="168" ht="45" customHeight="1" s="91">
      <c r="A168" s="127" t="n">
        <v>23</v>
      </c>
      <c r="B168" s="127" t="inlineStr">
        <is>
          <t>Indiana Kelley</t>
        </is>
      </c>
      <c r="C168" s="127" t="inlineStr">
        <is>
          <t>Operations &amp; Decision Technologies (ODT)</t>
        </is>
      </c>
      <c r="D168" s="127" t="inlineStr">
        <is>
          <t>Optimizing business processes, supply chains, and decision analytics to improve organizational efficiency and effectiveness.</t>
        </is>
      </c>
      <c r="E168" s="127" t="n">
        <v>4</v>
      </c>
      <c r="F168" s="127" t="n">
        <v>37</v>
      </c>
      <c r="G168" s="90" t="inlineStr">
        <is>
          <t>https://kelley.iu.edu/faculty-research/departments/operations-decision-technologies/</t>
        </is>
      </c>
    </row>
    <row r="169" ht="45" customHeight="1" s="91">
      <c r="A169" s="128" t="n">
        <v>24</v>
      </c>
      <c r="B169" s="128" t="inlineStr">
        <is>
          <t>UNC Kenan-Flagler</t>
        </is>
      </c>
      <c r="C169" s="128" t="inlineStr">
        <is>
          <t>Accounting</t>
        </is>
      </c>
      <c r="D169" s="128" t="inlineStr">
        <is>
          <t>Advancing knowledge in financial reporting, auditing, taxation, and accounting information systems through rigorous research and teaching.</t>
        </is>
      </c>
      <c r="E169" s="128" t="n">
        <v>4</v>
      </c>
      <c r="F169" s="128" t="n">
        <v>16</v>
      </c>
      <c r="G169" s="90" t="inlineStr">
        <is>
          <t>https://www.kenan-flagler.unc.edu/faculty/academic-areas/accounting/</t>
        </is>
      </c>
    </row>
    <row r="170" ht="45" customHeight="1" s="91">
      <c r="A170" s="127" t="n">
        <v>24</v>
      </c>
      <c r="B170" s="127" t="inlineStr">
        <is>
          <t>UNC Kenan-Flagler</t>
        </is>
      </c>
      <c r="C170" s="127" t="inlineStr">
        <is>
          <t>Finance</t>
        </is>
      </c>
      <c r="D170" s="127" t="inlineStr">
        <is>
          <t>Conducting cutting-edge research in financial markets, corporate finance, and asset pricing to inform practice and policy.</t>
        </is>
      </c>
      <c r="E170" s="127" t="n">
        <v>4</v>
      </c>
      <c r="F170" s="127" t="n">
        <v>20</v>
      </c>
      <c r="G170" s="90" t="inlineStr">
        <is>
          <t>https://www.kenan-flagler.unc.edu/faculty/academic-areas/finance/</t>
        </is>
      </c>
    </row>
    <row r="171" ht="45" customHeight="1" s="91">
      <c r="A171" s="128" t="n">
        <v>24</v>
      </c>
      <c r="B171" s="128" t="inlineStr">
        <is>
          <t>UNC Kenan-Flagler</t>
        </is>
      </c>
      <c r="C171" s="128" t="inlineStr">
        <is>
          <t>Marketing</t>
        </is>
      </c>
      <c r="D171" s="128" t="inlineStr">
        <is>
          <t>Generating insights into consumer behavior, market dynamics, and marketing strategy through innovative research methodologies.</t>
        </is>
      </c>
      <c r="E171" s="128" t="n">
        <v>4</v>
      </c>
      <c r="F171" s="128" t="n">
        <v>15</v>
      </c>
      <c r="G171" s="90" t="inlineStr">
        <is>
          <t>https://www.kenan-flagler.unc.edu/faculty/academic-areas/marketing/</t>
        </is>
      </c>
    </row>
    <row r="172" ht="45" customHeight="1" s="91">
      <c r="A172" s="127" t="n">
        <v>24</v>
      </c>
      <c r="B172" s="127" t="inlineStr">
        <is>
          <t>UNC Kenan-Flagler</t>
        </is>
      </c>
      <c r="C172" s="127" t="inlineStr">
        <is>
          <t>Management &amp; Corporate Communication</t>
        </is>
      </c>
      <c r="D172" s="127" t="inlineStr">
        <is>
          <t>Studying organizational dynamics, leadership, and strategic decision-making to develop effective management practices.</t>
        </is>
      </c>
      <c r="E172" s="127" t="n">
        <v>4</v>
      </c>
      <c r="F172" s="127" t="n">
        <v>7</v>
      </c>
      <c r="G172" s="90" t="inlineStr">
        <is>
          <t>https://www.kenan-flagler.unc.edu/faculty/academic-areas/management-and-corporate-communication/</t>
        </is>
      </c>
    </row>
    <row r="173" ht="45" customHeight="1" s="91">
      <c r="A173" s="128" t="n">
        <v>24</v>
      </c>
      <c r="B173" s="128" t="inlineStr">
        <is>
          <t>UNC Kenan-Flagler</t>
        </is>
      </c>
      <c r="C173" s="128" t="inlineStr">
        <is>
          <t>Operations</t>
        </is>
      </c>
      <c r="D173" s="128" t="inlineStr">
        <is>
          <t>Optimizing business processes, supply chains, and decision analytics to improve organizational efficiency and effectiveness.</t>
        </is>
      </c>
      <c r="E173" s="128" t="n">
        <v>4</v>
      </c>
      <c r="F173" s="128" t="n">
        <v>14</v>
      </c>
      <c r="G173" s="90" t="inlineStr">
        <is>
          <t>https://www.kenan-flagler.unc.edu/faculty/academic-areas/operations/</t>
        </is>
      </c>
    </row>
    <row r="174" ht="45" customHeight="1" s="91">
      <c r="A174" s="127" t="n">
        <v>24</v>
      </c>
      <c r="B174" s="127" t="inlineStr">
        <is>
          <t>UNC Kenan-Flagler</t>
        </is>
      </c>
      <c r="C174" s="127" t="inlineStr">
        <is>
          <t>Organizational Behavior</t>
        </is>
      </c>
      <c r="D174" s="127" t="inlineStr">
        <is>
          <t>Investigating human behavior in organizations, including motivation, group dynamics, leadership, and organizational culture.</t>
        </is>
      </c>
      <c r="E174" s="127" t="n">
        <v>4</v>
      </c>
      <c r="F174" s="127" t="n">
        <v>10</v>
      </c>
      <c r="G174" s="90" t="inlineStr">
        <is>
          <t>https://www.kenan-flagler.unc.edu/faculty/academic-areas/organizational-behavior/</t>
        </is>
      </c>
    </row>
    <row r="175" ht="45" customHeight="1" s="91">
      <c r="A175" s="128" t="n">
        <v>24</v>
      </c>
      <c r="B175" s="128" t="inlineStr">
        <is>
          <t>UNC Kenan-Flagler</t>
        </is>
      </c>
      <c r="C175" s="128" t="inlineStr">
        <is>
          <t>Strategy &amp; Entrepreneurship</t>
        </is>
      </c>
      <c r="D175" s="128" t="inlineStr">
        <is>
          <t>Researching competitive dynamics, corporate strategy, and innovation to help firms achieve sustainable advantage.</t>
        </is>
      </c>
      <c r="E175" s="128" t="n">
        <v>4</v>
      </c>
      <c r="F175" s="128" t="n">
        <v>13</v>
      </c>
      <c r="G175" s="90" t="inlineStr">
        <is>
          <t>https://www.kenan-flagler.unc.edu/faculty/academic-areas/strategy-and-entrepreneurship/</t>
        </is>
      </c>
    </row>
    <row r="176" ht="45" customHeight="1" s="91">
      <c r="A176" s="127" t="n">
        <v>25</v>
      </c>
      <c r="B176" s="127" t="inlineStr">
        <is>
          <t>Notre Dame Mendoza</t>
        </is>
      </c>
      <c r="C176" s="127" t="inlineStr">
        <is>
          <t>Accountancy</t>
        </is>
      </c>
      <c r="D176" s="127" t="inlineStr">
        <is>
          <t>Advancing knowledge in financial reporting, auditing, taxation, and accounting information systems through rigorous research and teaching.</t>
        </is>
      </c>
      <c r="E176" s="127" t="n">
        <v>4</v>
      </c>
      <c r="F176" s="127" t="n">
        <v>20</v>
      </c>
      <c r="G176" s="90" t="inlineStr">
        <is>
          <t>https://mendoza.nd.edu/research-faculty/academic-departments/</t>
        </is>
      </c>
    </row>
    <row r="177" ht="45" customHeight="1" s="91">
      <c r="A177" s="128" t="n">
        <v>25</v>
      </c>
      <c r="B177" s="128" t="inlineStr">
        <is>
          <t>Notre Dame Mendoza</t>
        </is>
      </c>
      <c r="C177" s="128" t="inlineStr">
        <is>
          <t>Finance</t>
        </is>
      </c>
      <c r="D177" s="128" t="inlineStr">
        <is>
          <t>Conducting cutting-edge research in financial markets, corporate finance, and asset pricing to inform practice and policy.</t>
        </is>
      </c>
      <c r="E177" s="128" t="n">
        <v>4</v>
      </c>
      <c r="F177" s="128" t="n">
        <v>20</v>
      </c>
      <c r="G177" s="90" t="inlineStr">
        <is>
          <t>https://mendoza.nd.edu/research-faculty/academic-departments/</t>
        </is>
      </c>
    </row>
    <row r="178" ht="45" customHeight="1" s="91">
      <c r="A178" s="127" t="n">
        <v>25</v>
      </c>
      <c r="B178" s="127" t="inlineStr">
        <is>
          <t>Notre Dame Mendoza</t>
        </is>
      </c>
      <c r="C178" s="127" t="inlineStr">
        <is>
          <t>Information Technology, Analytics, and Operations (ITAO)</t>
        </is>
      </c>
      <c r="D178" s="127" t="inlineStr">
        <is>
          <t>Optimizing business processes, supply chains, and decision analytics to improve organizational efficiency and effectiveness.</t>
        </is>
      </c>
      <c r="E178" s="127" t="n">
        <v>4</v>
      </c>
      <c r="F178" s="127" t="n">
        <v>24</v>
      </c>
      <c r="G178" s="90" t="inlineStr">
        <is>
          <t>https://mendoza.nd.edu/research-faculty/academic-departments/information-technology-analytics-operations/</t>
        </is>
      </c>
    </row>
    <row r="179" ht="45" customHeight="1" s="91">
      <c r="A179" s="128" t="n">
        <v>25</v>
      </c>
      <c r="B179" s="128" t="inlineStr">
        <is>
          <t>Notre Dame Mendoza</t>
        </is>
      </c>
      <c r="C179" s="128" t="inlineStr">
        <is>
          <t>Management &amp; Organization</t>
        </is>
      </c>
      <c r="D179" s="128" t="inlineStr">
        <is>
          <t>Investigating human behavior in organizations, including motivation, group dynamics, leadership, and organizational culture.</t>
        </is>
      </c>
      <c r="E179" s="128" t="n">
        <v>4</v>
      </c>
      <c r="F179" s="128" t="n">
        <v>16</v>
      </c>
      <c r="G179" s="90" t="inlineStr">
        <is>
          <t>https://mendoza.nd.edu/research-faculty/academic-departments/</t>
        </is>
      </c>
    </row>
    <row r="180" ht="45" customHeight="1" s="91">
      <c r="A180" s="127" t="n">
        <v>25</v>
      </c>
      <c r="B180" s="127" t="inlineStr">
        <is>
          <t>Notre Dame Mendoza</t>
        </is>
      </c>
      <c r="C180" s="127" t="inlineStr">
        <is>
          <t>Marketing</t>
        </is>
      </c>
      <c r="D180" s="127" t="inlineStr">
        <is>
          <t>Generating insights into consumer behavior, market dynamics, and marketing strategy through innovative research methodologies.</t>
        </is>
      </c>
      <c r="E180" s="127" t="n">
        <v>4</v>
      </c>
      <c r="F180" s="127" t="n">
        <v>14</v>
      </c>
      <c r="G180" s="90" t="inlineStr">
        <is>
          <t>https://mendoza.nd.edu/research-faculty/academic-departments/</t>
        </is>
      </c>
    </row>
    <row r="181" ht="45" customHeight="1" s="91">
      <c r="A181" s="128" t="n">
        <v>26</v>
      </c>
      <c r="B181" s="128" t="inlineStr">
        <is>
          <t>USC Marshall</t>
        </is>
      </c>
      <c r="C181" s="128" t="inlineStr">
        <is>
          <t>Accounting (Leventhal)</t>
        </is>
      </c>
      <c r="D181" s="128" t="inlineStr">
        <is>
          <t>Advancing knowledge in financial reporting, auditing, taxation, and accounting information systems through rigorous research and teaching.</t>
        </is>
      </c>
      <c r="E181" s="128" t="n">
        <v>4</v>
      </c>
      <c r="F181" s="128" t="n">
        <v>24</v>
      </c>
      <c r="G181" s="90" t="inlineStr">
        <is>
          <t>https://www.marshall.usc.edu/departments/leventhal-school-accounting</t>
        </is>
      </c>
    </row>
    <row r="182" ht="45" customHeight="1" s="91">
      <c r="A182" s="127" t="n">
        <v>26</v>
      </c>
      <c r="B182" s="127" t="inlineStr">
        <is>
          <t>USC Marshall</t>
        </is>
      </c>
      <c r="C182" s="127" t="inlineStr">
        <is>
          <t>Data Sciences and Operations (DSO)</t>
        </is>
      </c>
      <c r="D182" s="127" t="inlineStr">
        <is>
          <t>Optimizing business processes, supply chains, and decision analytics to improve organizational efficiency and effectiveness.</t>
        </is>
      </c>
      <c r="E182" s="127" t="n">
        <v>4</v>
      </c>
      <c r="F182" s="127" t="n">
        <v>26</v>
      </c>
      <c r="G182" s="90" t="inlineStr">
        <is>
          <t>https://www.marshall.usc.edu/departments/data-sciences-and-operations</t>
        </is>
      </c>
    </row>
    <row r="183" ht="45" customHeight="1" s="91">
      <c r="A183" s="128" t="n">
        <v>26</v>
      </c>
      <c r="B183" s="128" t="inlineStr">
        <is>
          <t>USC Marshall</t>
        </is>
      </c>
      <c r="C183" s="128" t="inlineStr">
        <is>
          <t>Finance &amp; Business Economics</t>
        </is>
      </c>
      <c r="D183" s="128" t="inlineStr">
        <is>
          <t>Conducting cutting-edge research in financial markets, corporate finance, and asset pricing to inform practice and policy.</t>
        </is>
      </c>
      <c r="E183" s="128" t="n">
        <v>4</v>
      </c>
      <c r="F183" s="128" t="n">
        <v>40</v>
      </c>
      <c r="G183" s="90" t="inlineStr">
        <is>
          <t>https://www.marshall.usc.edu/departments/finance-business-economics</t>
        </is>
      </c>
    </row>
    <row r="184" ht="45" customHeight="1" s="91">
      <c r="A184" s="127" t="n">
        <v>26</v>
      </c>
      <c r="B184" s="127" t="inlineStr">
        <is>
          <t>USC Marshall</t>
        </is>
      </c>
      <c r="C184" s="127" t="inlineStr">
        <is>
          <t>Management &amp; Organization</t>
        </is>
      </c>
      <c r="D184" s="127" t="inlineStr">
        <is>
          <t>Investigating human behavior in organizations, including motivation, group dynamics, leadership, and organizational culture.</t>
        </is>
      </c>
      <c r="E184" s="127" t="n">
        <v>4</v>
      </c>
      <c r="F184" s="127" t="n">
        <v>27</v>
      </c>
      <c r="G184" s="90" t="inlineStr">
        <is>
          <t>https://www.marshall.usc.edu/departments/management-and-organization</t>
        </is>
      </c>
    </row>
    <row r="185" ht="45" customHeight="1" s="91">
      <c r="A185" s="128" t="n">
        <v>26</v>
      </c>
      <c r="B185" s="128" t="inlineStr">
        <is>
          <t>USC Marshall</t>
        </is>
      </c>
      <c r="C185" s="128" t="inlineStr">
        <is>
          <t>Marketing</t>
        </is>
      </c>
      <c r="D185" s="128" t="inlineStr">
        <is>
          <t>Generating insights into consumer behavior, market dynamics, and marketing strategy through innovative research methodologies.</t>
        </is>
      </c>
      <c r="E185" s="128" t="n">
        <v>4</v>
      </c>
      <c r="F185" s="128" t="n">
        <v>27</v>
      </c>
      <c r="G185" s="90" t="inlineStr">
        <is>
          <t>https://www.marshall.usc.edu/departments/marketing</t>
        </is>
      </c>
    </row>
    <row r="186" ht="45" customHeight="1" s="91">
      <c r="A186" s="127" t="n">
        <v>27</v>
      </c>
      <c r="B186" s="127" t="inlineStr">
        <is>
          <t>Rice Jones</t>
        </is>
      </c>
      <c r="C186" s="127" t="inlineStr">
        <is>
          <t>Accounting</t>
        </is>
      </c>
      <c r="D186" s="127" t="inlineStr">
        <is>
          <t>Advancing knowledge in financial reporting, auditing, taxation, and accounting information systems through rigorous research and teaching.</t>
        </is>
      </c>
      <c r="E186" s="127" t="n">
        <v>4</v>
      </c>
      <c r="F186" s="127" t="n">
        <v>12</v>
      </c>
      <c r="G186" s="90" t="inlineStr">
        <is>
          <t>https://business.rice.edu/faculty-research/research/accounting</t>
        </is>
      </c>
    </row>
    <row r="187" ht="45" customHeight="1" s="91">
      <c r="A187" s="128" t="n">
        <v>27</v>
      </c>
      <c r="B187" s="128" t="inlineStr">
        <is>
          <t>Rice Jones</t>
        </is>
      </c>
      <c r="C187" s="128" t="inlineStr">
        <is>
          <t>Finance</t>
        </is>
      </c>
      <c r="D187" s="128" t="inlineStr">
        <is>
          <t>Conducting cutting-edge research in financial markets, corporate finance, and asset pricing to inform practice and policy.</t>
        </is>
      </c>
      <c r="E187" s="128" t="n">
        <v>4</v>
      </c>
      <c r="F187" s="128" t="n">
        <v>19</v>
      </c>
      <c r="G187" s="90" t="inlineStr">
        <is>
          <t>https://business.rice.edu/faculty-research/research/finance</t>
        </is>
      </c>
    </row>
    <row r="188" ht="45" customHeight="1" s="91">
      <c r="A188" s="127" t="n">
        <v>27</v>
      </c>
      <c r="B188" s="127" t="inlineStr">
        <is>
          <t>Rice Jones</t>
        </is>
      </c>
      <c r="C188" s="127" t="inlineStr">
        <is>
          <t>Management</t>
        </is>
      </c>
      <c r="D188" s="127" t="inlineStr">
        <is>
          <t>Studying organizational dynamics, leadership, and strategic decision-making to develop effective management practices.</t>
        </is>
      </c>
      <c r="E188" s="127" t="n">
        <v>4</v>
      </c>
      <c r="F188" s="127" t="n">
        <v>7</v>
      </c>
      <c r="G188" s="90" t="inlineStr">
        <is>
          <t>https://business.rice.edu/faculty-research/research/organizational-behavior</t>
        </is>
      </c>
    </row>
    <row r="189" ht="45" customHeight="1" s="91">
      <c r="A189" s="128" t="n">
        <v>27</v>
      </c>
      <c r="B189" s="128" t="inlineStr">
        <is>
          <t>Rice Jones</t>
        </is>
      </c>
      <c r="C189" s="128" t="inlineStr">
        <is>
          <t>Marketing</t>
        </is>
      </c>
      <c r="D189" s="128" t="inlineStr">
        <is>
          <t>Generating insights into consumer behavior, market dynamics, and marketing strategy through innovative research methodologies.</t>
        </is>
      </c>
      <c r="E189" s="128" t="n">
        <v>4</v>
      </c>
      <c r="F189" s="128" t="n">
        <v>11</v>
      </c>
      <c r="G189" s="90" t="inlineStr">
        <is>
          <t>https://business.rice.edu/faculty-research/research/marketing</t>
        </is>
      </c>
    </row>
    <row r="190" ht="45" customHeight="1" s="91">
      <c r="A190" s="127" t="n">
        <v>27</v>
      </c>
      <c r="B190" s="127" t="inlineStr">
        <is>
          <t>Rice Jones</t>
        </is>
      </c>
      <c r="C190" s="127" t="inlineStr">
        <is>
          <t>Operations Management</t>
        </is>
      </c>
      <c r="D190" s="127" t="inlineStr">
        <is>
          <t>Optimizing business processes, supply chains, and decision analytics to improve organizational efficiency and effectiveness.</t>
        </is>
      </c>
      <c r="E190" s="127" t="n">
        <v>4</v>
      </c>
      <c r="F190" s="127" t="n">
        <v>6</v>
      </c>
      <c r="G190" s="90" t="inlineStr">
        <is>
          <t>https://business.rice.edu/faculty-research/research/operations-management</t>
        </is>
      </c>
    </row>
    <row r="191" ht="45" customHeight="1" s="91">
      <c r="A191" s="128" t="n">
        <v>27</v>
      </c>
      <c r="B191" s="128" t="inlineStr">
        <is>
          <t>Rice Jones</t>
        </is>
      </c>
      <c r="C191" s="128" t="inlineStr">
        <is>
          <t>Strategic Management</t>
        </is>
      </c>
      <c r="D191" s="128" t="inlineStr">
        <is>
          <t>Researching competitive dynamics, corporate strategy, and innovation to help firms achieve sustainable advantage.</t>
        </is>
      </c>
      <c r="E191" s="128" t="n">
        <v>4</v>
      </c>
      <c r="F191" s="128" t="n">
        <v>12</v>
      </c>
      <c r="G191" s="90" t="inlineStr">
        <is>
          <t>https://business.rice.edu/faculty-research/research/strategy-and-environment</t>
        </is>
      </c>
    </row>
    <row r="192" ht="45" customHeight="1" s="91">
      <c r="A192" s="127" t="n">
        <v>28</v>
      </c>
      <c r="B192" s="127" t="inlineStr">
        <is>
          <t>Minnesota Carlson</t>
        </is>
      </c>
      <c r="C192" s="127" t="inlineStr">
        <is>
          <t>Accounting</t>
        </is>
      </c>
      <c r="D192" s="127" t="inlineStr">
        <is>
          <t>Advancing knowledge in financial reporting, auditing, taxation, and accounting information systems through rigorous research and teaching.</t>
        </is>
      </c>
      <c r="E192" s="127" t="n">
        <v>4</v>
      </c>
      <c r="F192" s="127" t="n">
        <v>13</v>
      </c>
      <c r="G192" s="90" t="inlineStr">
        <is>
          <t>https://carlsonschool.umn.edu/departments/accounting/</t>
        </is>
      </c>
    </row>
    <row r="193" ht="45" customHeight="1" s="91">
      <c r="A193" s="128" t="n">
        <v>28</v>
      </c>
      <c r="B193" s="128" t="inlineStr">
        <is>
          <t>Minnesota Carlson</t>
        </is>
      </c>
      <c r="C193" s="128" t="inlineStr">
        <is>
          <t>Finance</t>
        </is>
      </c>
      <c r="D193" s="128" t="inlineStr">
        <is>
          <t>Conducting cutting-edge research in financial markets, corporate finance, and asset pricing to inform practice and policy.</t>
        </is>
      </c>
      <c r="E193" s="128" t="n">
        <v>4</v>
      </c>
      <c r="F193" s="128" t="n">
        <v>15</v>
      </c>
      <c r="G193" s="90" t="inlineStr">
        <is>
          <t>https://carlsonschool.umn.edu/departments/finance/</t>
        </is>
      </c>
    </row>
    <row r="194" ht="45" customHeight="1" s="91">
      <c r="A194" s="127" t="n">
        <v>28</v>
      </c>
      <c r="B194" s="127" t="inlineStr">
        <is>
          <t>Minnesota Carlson</t>
        </is>
      </c>
      <c r="C194" s="127" t="inlineStr">
        <is>
          <t>Information &amp; Decision Sciences</t>
        </is>
      </c>
      <c r="D194" s="127" t="inlineStr">
        <is>
          <t>Applying economic theory and empirical methods to understand business environments, policy impacts, and market behavior.</t>
        </is>
      </c>
      <c r="E194" s="127" t="n">
        <v>4</v>
      </c>
      <c r="F194" s="127" t="n">
        <v>18</v>
      </c>
      <c r="G194" s="90" t="inlineStr">
        <is>
          <t>https://carlsonschool.umn.edu/departments/information-decision-sciences/</t>
        </is>
      </c>
    </row>
    <row r="195" ht="45" customHeight="1" s="91">
      <c r="A195" s="128" t="n">
        <v>28</v>
      </c>
      <c r="B195" s="128" t="inlineStr">
        <is>
          <t>Minnesota Carlson</t>
        </is>
      </c>
      <c r="C195" s="128" t="inlineStr">
        <is>
          <t>Marketing</t>
        </is>
      </c>
      <c r="D195" s="128" t="inlineStr">
        <is>
          <t>Generating insights into consumer behavior, market dynamics, and marketing strategy through innovative research methodologies.</t>
        </is>
      </c>
      <c r="E195" s="128" t="n">
        <v>4</v>
      </c>
      <c r="F195" s="128" t="n">
        <v>15</v>
      </c>
      <c r="G195" s="90" t="inlineStr">
        <is>
          <t>https://carlsonschool.umn.edu/departments/marketing/</t>
        </is>
      </c>
    </row>
    <row r="196" ht="45" customHeight="1" s="91">
      <c r="A196" s="127" t="n">
        <v>28</v>
      </c>
      <c r="B196" s="127" t="inlineStr">
        <is>
          <t>Minnesota Carlson</t>
        </is>
      </c>
      <c r="C196" s="127" t="inlineStr">
        <is>
          <t>Strategic Management &amp; Entrepreneurship</t>
        </is>
      </c>
      <c r="D196" s="127" t="inlineStr">
        <is>
          <t>Researching competitive dynamics, corporate strategy, and innovation to help firms achieve sustainable advantage.</t>
        </is>
      </c>
      <c r="E196" s="127" t="n">
        <v>4</v>
      </c>
      <c r="F196" s="127" t="n">
        <v>17</v>
      </c>
      <c r="G196" s="90" t="inlineStr">
        <is>
          <t>https://carlsonschool.umn.edu/departments/strategic-management-entrepreneurship/</t>
        </is>
      </c>
    </row>
    <row r="197" ht="45" customHeight="1" s="91">
      <c r="A197" s="128" t="n">
        <v>28</v>
      </c>
      <c r="B197" s="128" t="inlineStr">
        <is>
          <t>Minnesota Carlson</t>
        </is>
      </c>
      <c r="C197" s="128" t="inlineStr">
        <is>
          <t>Supply Chain &amp; Operations</t>
        </is>
      </c>
      <c r="D197" s="128" t="inlineStr">
        <is>
          <t>Optimizing business processes, supply chains, and decision analytics to improve organizational efficiency and effectiveness.</t>
        </is>
      </c>
      <c r="E197" s="128" t="n">
        <v>4</v>
      </c>
      <c r="F197" s="128" t="n">
        <v>9</v>
      </c>
      <c r="G197" s="90" t="inlineStr">
        <is>
          <t>https://carlsonschool.umn.edu/departments/supply-chain-operations/</t>
        </is>
      </c>
    </row>
    <row r="198" ht="45" customHeight="1" s="91">
      <c r="A198" s="127" t="n">
        <v>29</v>
      </c>
      <c r="B198" s="127" t="inlineStr">
        <is>
          <t>Ohio State Fisher</t>
        </is>
      </c>
      <c r="C198" s="127" t="inlineStr">
        <is>
          <t>Accounting &amp; Management Information Systems</t>
        </is>
      </c>
      <c r="D198" s="127" t="inlineStr">
        <is>
          <t>Advancing knowledge in financial reporting, auditing, taxation, and accounting information systems through rigorous research and teaching.</t>
        </is>
      </c>
      <c r="E198" s="127" t="n">
        <v>4</v>
      </c>
      <c r="F198" s="127" t="n">
        <v>18</v>
      </c>
      <c r="G198" s="90" t="inlineStr">
        <is>
          <t>https://fisher.osu.edu/academic-departments/amis/</t>
        </is>
      </c>
    </row>
    <row r="199" ht="45" customHeight="1" s="91">
      <c r="A199" s="128" t="n">
        <v>29</v>
      </c>
      <c r="B199" s="128" t="inlineStr">
        <is>
          <t>Ohio State Fisher</t>
        </is>
      </c>
      <c r="C199" s="128" t="inlineStr">
        <is>
          <t>Finance</t>
        </is>
      </c>
      <c r="D199" s="128" t="inlineStr">
        <is>
          <t>Conducting cutting-edge research in financial markets, corporate finance, and asset pricing to inform practice and policy.</t>
        </is>
      </c>
      <c r="E199" s="128" t="n">
        <v>4</v>
      </c>
      <c r="F199" s="128" t="n">
        <v>24</v>
      </c>
      <c r="G199" s="90" t="inlineStr">
        <is>
          <t>https://fisher.osu.edu/academic-departments/finance/</t>
        </is>
      </c>
    </row>
    <row r="200" ht="45" customHeight="1" s="91">
      <c r="A200" s="127" t="n">
        <v>29</v>
      </c>
      <c r="B200" s="127" t="inlineStr">
        <is>
          <t>Ohio State Fisher</t>
        </is>
      </c>
      <c r="C200" s="127" t="inlineStr">
        <is>
          <t>Management &amp; Human Resources</t>
        </is>
      </c>
      <c r="D200" s="127" t="inlineStr">
        <is>
          <t>Studying organizational dynamics, leadership, and strategic decision-making to develop effective management practices.</t>
        </is>
      </c>
      <c r="E200" s="127" t="n">
        <v>4</v>
      </c>
      <c r="F200" s="127" t="n">
        <v>13</v>
      </c>
      <c r="G200" s="90" t="inlineStr">
        <is>
          <t>https://fisher.osu.edu/academic-departments/management-human-resources/</t>
        </is>
      </c>
    </row>
    <row r="201" ht="45" customHeight="1" s="91">
      <c r="A201" s="128" t="n">
        <v>29</v>
      </c>
      <c r="B201" s="128" t="inlineStr">
        <is>
          <t>Ohio State Fisher</t>
        </is>
      </c>
      <c r="C201" s="128" t="inlineStr">
        <is>
          <t>Management Sciences</t>
        </is>
      </c>
      <c r="D201" s="128" t="inlineStr">
        <is>
          <t>Studying organizational dynamics, leadership, and strategic decision-making to develop effective management practices.</t>
        </is>
      </c>
      <c r="E201" s="128" t="n">
        <v>4</v>
      </c>
      <c r="F201" s="128" t="n">
        <v>20</v>
      </c>
      <c r="G201" s="90" t="inlineStr">
        <is>
          <t>https://fisher.osu.edu/academic-departments/management-sciences</t>
        </is>
      </c>
    </row>
    <row r="202" ht="45" customHeight="1" s="91">
      <c r="A202" s="127" t="n">
        <v>29</v>
      </c>
      <c r="B202" s="127" t="inlineStr">
        <is>
          <t>Ohio State Fisher</t>
        </is>
      </c>
      <c r="C202" s="127" t="inlineStr">
        <is>
          <t>Marketing &amp; Logistics</t>
        </is>
      </c>
      <c r="D202" s="127" t="inlineStr">
        <is>
          <t>Generating insights into consumer behavior, market dynamics, and marketing strategy through innovative research methodologies.</t>
        </is>
      </c>
      <c r="E202" s="127" t="n">
        <v>4</v>
      </c>
      <c r="F202" s="127" t="n">
        <v>21</v>
      </c>
      <c r="G202" s="90" t="inlineStr">
        <is>
          <t>https://fisher.osu.edu/academic-departments/marketing-logistics/</t>
        </is>
      </c>
    </row>
    <row r="203" ht="45" customHeight="1" s="91">
      <c r="A203" s="128" t="n">
        <v>30</v>
      </c>
      <c r="B203" s="128" t="inlineStr">
        <is>
          <t>GT Scheller</t>
        </is>
      </c>
      <c r="C203" s="128" t="inlineStr">
        <is>
          <t>Accounting</t>
        </is>
      </c>
      <c r="D203" s="128" t="inlineStr">
        <is>
          <t>Advancing knowledge in financial reporting, auditing, taxation, and accounting information systems through rigorous research and teaching.</t>
        </is>
      </c>
      <c r="E203" s="128" t="n">
        <v>4</v>
      </c>
      <c r="F203" s="128" t="n">
        <v>10</v>
      </c>
      <c r="G203" s="90" t="inlineStr">
        <is>
          <t>https://scheller.gatech.edu/academics-research/accounting/</t>
        </is>
      </c>
    </row>
    <row r="204" ht="45" customHeight="1" s="91">
      <c r="A204" s="127" t="n">
        <v>30</v>
      </c>
      <c r="B204" s="127" t="inlineStr">
        <is>
          <t>GT Scheller</t>
        </is>
      </c>
      <c r="C204" s="127" t="inlineStr">
        <is>
          <t>Finance</t>
        </is>
      </c>
      <c r="D204" s="127" t="inlineStr">
        <is>
          <t>Conducting cutting-edge research in financial markets, corporate finance, and asset pricing to inform practice and policy.</t>
        </is>
      </c>
      <c r="E204" s="127" t="n">
        <v>4</v>
      </c>
      <c r="F204" s="127" t="n">
        <v>13</v>
      </c>
      <c r="G204" s="90" t="inlineStr">
        <is>
          <t>https://scheller.gatech.edu/academics-research/finance/</t>
        </is>
      </c>
    </row>
    <row r="205" ht="45" customHeight="1" s="91">
      <c r="A205" s="128" t="n">
        <v>30</v>
      </c>
      <c r="B205" s="128" t="inlineStr">
        <is>
          <t>GT Scheller</t>
        </is>
      </c>
      <c r="C205" s="128" t="inlineStr">
        <is>
          <t>Information Technology Management</t>
        </is>
      </c>
      <c r="D205" s="128" t="inlineStr">
        <is>
          <t>Exploring the intersection of technology, data analytics, and business to drive digital transformation and innovation.</t>
        </is>
      </c>
      <c r="E205" s="128" t="n">
        <v>4</v>
      </c>
      <c r="F205" s="128" t="n">
        <v>12</v>
      </c>
      <c r="G205" s="90" t="inlineStr">
        <is>
          <t>https://www.scheller.gatech.edu/academics-research/it-management/</t>
        </is>
      </c>
    </row>
    <row r="206" ht="45" customHeight="1" s="91">
      <c r="A206" s="127" t="n">
        <v>30</v>
      </c>
      <c r="B206" s="127" t="inlineStr">
        <is>
          <t>GT Scheller</t>
        </is>
      </c>
      <c r="C206" s="127" t="inlineStr">
        <is>
          <t>Law &amp; Ethics</t>
        </is>
      </c>
      <c r="D206" s="127" t="inlineStr">
        <is>
          <t>Contributing to the advancement of business knowledge through rigorous research and impactful teaching.</t>
        </is>
      </c>
      <c r="E206" s="127" t="n">
        <v>4</v>
      </c>
      <c r="F206" s="127" t="n">
        <v>3</v>
      </c>
      <c r="G206" s="90" t="inlineStr">
        <is>
          <t>https://scheller.gatech.edu/academics-research/law-ethics/</t>
        </is>
      </c>
    </row>
    <row r="207" ht="45" customHeight="1" s="91">
      <c r="A207" s="128" t="n">
        <v>30</v>
      </c>
      <c r="B207" s="128" t="inlineStr">
        <is>
          <t>GT Scheller</t>
        </is>
      </c>
      <c r="C207" s="128" t="inlineStr">
        <is>
          <t>Marketing</t>
        </is>
      </c>
      <c r="D207" s="128" t="inlineStr">
        <is>
          <t>Generating insights into consumer behavior, market dynamics, and marketing strategy through innovative research methodologies.</t>
        </is>
      </c>
      <c r="E207" s="128" t="n">
        <v>4</v>
      </c>
      <c r="F207" s="128" t="n">
        <v>10</v>
      </c>
      <c r="G207" s="90" t="inlineStr">
        <is>
          <t>https://scheller.gatech.edu/academics-research/marketing/</t>
        </is>
      </c>
    </row>
    <row r="208" ht="45" customHeight="1" s="91">
      <c r="A208" s="127" t="n">
        <v>30</v>
      </c>
      <c r="B208" s="127" t="inlineStr">
        <is>
          <t>GT Scheller</t>
        </is>
      </c>
      <c r="C208" s="127" t="inlineStr">
        <is>
          <t>Operations Management</t>
        </is>
      </c>
      <c r="D208" s="127" t="inlineStr">
        <is>
          <t>Optimizing business processes, supply chains, and decision analytics to improve organizational efficiency and effectiveness.</t>
        </is>
      </c>
      <c r="E208" s="127" t="n">
        <v>4</v>
      </c>
      <c r="F208" s="127" t="n">
        <v>11</v>
      </c>
      <c r="G208" s="90" t="inlineStr">
        <is>
          <t>https://www.scheller.gatech.edu/academics-research/operations-management/</t>
        </is>
      </c>
    </row>
    <row r="209" ht="45" customHeight="1" s="91">
      <c r="A209" s="128" t="n">
        <v>30</v>
      </c>
      <c r="B209" s="128" t="inlineStr">
        <is>
          <t>GT Scheller</t>
        </is>
      </c>
      <c r="C209" s="128" t="inlineStr">
        <is>
          <t>Organizational Behavior</t>
        </is>
      </c>
      <c r="D209" s="128" t="inlineStr">
        <is>
          <t>Investigating human behavior in organizations, including motivation, group dynamics, leadership, and organizational culture.</t>
        </is>
      </c>
      <c r="E209" s="128" t="n">
        <v>4</v>
      </c>
      <c r="F209" s="128" t="n">
        <v>9</v>
      </c>
      <c r="G209" s="90" t="inlineStr">
        <is>
          <t>https://scheller.gatech.edu/academics-research/organizational-behavior/</t>
        </is>
      </c>
    </row>
    <row r="210" ht="45" customHeight="1" s="91">
      <c r="A210" s="127" t="n">
        <v>30</v>
      </c>
      <c r="B210" s="127" t="inlineStr">
        <is>
          <t>GT Scheller</t>
        </is>
      </c>
      <c r="C210" s="127" t="inlineStr">
        <is>
          <t>Strategy &amp; Innovation</t>
        </is>
      </c>
      <c r="D210" s="127" t="inlineStr">
        <is>
          <t>Researching competitive dynamics, corporate strategy, and innovation to help firms achieve sustainable advantage.</t>
        </is>
      </c>
      <c r="E210" s="127" t="n">
        <v>4</v>
      </c>
      <c r="F210" s="127" t="n">
        <v>10</v>
      </c>
      <c r="G210" s="90" t="inlineStr">
        <is>
          <t>https://scheller.gatech.edu/academics-research/strategy-innovation/</t>
        </is>
      </c>
    </row>
    <row r="211" ht="45" customHeight="1" s="91">
      <c r="A211" s="128" t="n">
        <v>31</v>
      </c>
      <c r="B211" s="128" t="inlineStr">
        <is>
          <t>Penn State Smeal</t>
        </is>
      </c>
      <c r="C211" s="128" t="inlineStr">
        <is>
          <t>Accounting</t>
        </is>
      </c>
      <c r="D211" s="128" t="inlineStr">
        <is>
          <t>Advancing knowledge in financial reporting, auditing, taxation, and accounting information systems through rigorous research and teaching.</t>
        </is>
      </c>
      <c r="E211" s="128" t="n">
        <v>4</v>
      </c>
      <c r="F211" s="128" t="n">
        <v>15</v>
      </c>
      <c r="G211" s="90" t="inlineStr">
        <is>
          <t>https://www.smeal.psu.edu/accounting</t>
        </is>
      </c>
    </row>
    <row r="212" ht="45" customHeight="1" s="91">
      <c r="A212" s="127" t="n">
        <v>31</v>
      </c>
      <c r="B212" s="127" t="inlineStr">
        <is>
          <t>Penn State Smeal</t>
        </is>
      </c>
      <c r="C212" s="127" t="inlineStr">
        <is>
          <t>Finance</t>
        </is>
      </c>
      <c r="D212" s="127" t="inlineStr">
        <is>
          <t>Conducting cutting-edge research in financial markets, corporate finance, and asset pricing to inform practice and policy.</t>
        </is>
      </c>
      <c r="E212" s="127" t="n">
        <v>4</v>
      </c>
      <c r="F212" s="127" t="n">
        <v>22</v>
      </c>
      <c r="G212" s="90" t="inlineStr">
        <is>
          <t>https://www.smeal.psu.edu/finance</t>
        </is>
      </c>
    </row>
    <row r="213" ht="45" customHeight="1" s="91">
      <c r="A213" s="128" t="n">
        <v>31</v>
      </c>
      <c r="B213" s="128" t="inlineStr">
        <is>
          <t>Penn State Smeal</t>
        </is>
      </c>
      <c r="C213" s="128" t="inlineStr">
        <is>
          <t>Management &amp; Organization</t>
        </is>
      </c>
      <c r="D213" s="128" t="inlineStr">
        <is>
          <t>Investigating human behavior in organizations, including motivation, group dynamics, leadership, and organizational culture.</t>
        </is>
      </c>
      <c r="E213" s="128" t="n">
        <v>4</v>
      </c>
      <c r="F213" s="128" t="n">
        <v>16</v>
      </c>
      <c r="G213" s="90" t="inlineStr">
        <is>
          <t>https://www.smeal.psu.edu/management</t>
        </is>
      </c>
    </row>
    <row r="214" ht="45" customHeight="1" s="91">
      <c r="A214" s="127" t="n">
        <v>31</v>
      </c>
      <c r="B214" s="127" t="inlineStr">
        <is>
          <t>Penn State Smeal</t>
        </is>
      </c>
      <c r="C214" s="127" t="inlineStr">
        <is>
          <t>Marketing</t>
        </is>
      </c>
      <c r="D214" s="127" t="inlineStr">
        <is>
          <t>Generating insights into consumer behavior, market dynamics, and marketing strategy through innovative research methodologies.</t>
        </is>
      </c>
      <c r="E214" s="127" t="n">
        <v>4</v>
      </c>
      <c r="F214" s="127" t="n">
        <v>17</v>
      </c>
      <c r="G214" s="90" t="inlineStr">
        <is>
          <t>https://www.smeal.psu.edu/marketing</t>
        </is>
      </c>
    </row>
    <row r="215" ht="45" customHeight="1" s="91">
      <c r="A215" s="128" t="n">
        <v>31</v>
      </c>
      <c r="B215" s="128" t="inlineStr">
        <is>
          <t>Penn State Smeal</t>
        </is>
      </c>
      <c r="C215" s="128" t="inlineStr">
        <is>
          <t>Risk Management</t>
        </is>
      </c>
      <c r="D215" s="128" t="inlineStr">
        <is>
          <t>Studying organizational dynamics, leadership, and strategic decision-making to develop effective management practices.</t>
        </is>
      </c>
      <c r="E215" s="128" t="n">
        <v>4</v>
      </c>
      <c r="F215" s="128" t="n">
        <v>13</v>
      </c>
      <c r="G215" s="90" t="inlineStr">
        <is>
          <t>https://www.smeal.psu.edu/risk</t>
        </is>
      </c>
    </row>
    <row r="216" ht="45" customHeight="1" s="91">
      <c r="A216" s="127" t="n">
        <v>31</v>
      </c>
      <c r="B216" s="127" t="inlineStr">
        <is>
          <t>Penn State Smeal</t>
        </is>
      </c>
      <c r="C216" s="127" t="inlineStr">
        <is>
          <t>Supply Chain and Information Systems</t>
        </is>
      </c>
      <c r="D216" s="127" t="inlineStr">
        <is>
          <t>Optimizing business processes, supply chains, and decision analytics to improve organizational efficiency and effectiveness.</t>
        </is>
      </c>
      <c r="E216" s="127" t="n">
        <v>4</v>
      </c>
      <c r="F216" s="127" t="n">
        <v>14</v>
      </c>
      <c r="G216" s="90" t="inlineStr">
        <is>
          <t>https://www.smeal.psu.edu/scis</t>
        </is>
      </c>
    </row>
    <row r="217" ht="45" customHeight="1" s="91">
      <c r="A217" s="128" t="n">
        <v>32</v>
      </c>
      <c r="B217" s="128" t="inlineStr">
        <is>
          <t>Texas A&amp;M Mays</t>
        </is>
      </c>
      <c r="C217" s="128" t="inlineStr">
        <is>
          <t>Accounting</t>
        </is>
      </c>
      <c r="D217" s="128" t="inlineStr">
        <is>
          <t>Advancing knowledge in financial reporting, auditing, taxation, and accounting information systems through rigorous research and teaching.</t>
        </is>
      </c>
      <c r="E217" s="128" t="n">
        <v>4</v>
      </c>
      <c r="F217" s="128" t="n">
        <v>28</v>
      </c>
      <c r="G217" s="90" t="inlineStr">
        <is>
          <t>https://mays.tamu.edu/departments/</t>
        </is>
      </c>
    </row>
    <row r="218" ht="45" customHeight="1" s="91">
      <c r="A218" s="127" t="n">
        <v>32</v>
      </c>
      <c r="B218" s="127" t="inlineStr">
        <is>
          <t>Texas A&amp;M Mays</t>
        </is>
      </c>
      <c r="C218" s="127" t="inlineStr">
        <is>
          <t>Finance</t>
        </is>
      </c>
      <c r="D218" s="127" t="inlineStr">
        <is>
          <t>Conducting cutting-edge research in financial markets, corporate finance, and asset pricing to inform practice and policy.</t>
        </is>
      </c>
      <c r="E218" s="127" t="n">
        <v>4</v>
      </c>
      <c r="F218" s="127" t="n">
        <v>24</v>
      </c>
      <c r="G218" s="90" t="inlineStr">
        <is>
          <t>https://mays.tamu.edu/departments/</t>
        </is>
      </c>
    </row>
    <row r="219" ht="45" customHeight="1" s="91">
      <c r="A219" s="128" t="n">
        <v>32</v>
      </c>
      <c r="B219" s="128" t="inlineStr">
        <is>
          <t>Texas A&amp;M Mays</t>
        </is>
      </c>
      <c r="C219" s="128" t="inlineStr">
        <is>
          <t>Information and Operations Management</t>
        </is>
      </c>
      <c r="D219" s="128" t="inlineStr">
        <is>
          <t>Optimizing business processes, supply chains, and decision analytics to improve organizational efficiency and effectiveness.</t>
        </is>
      </c>
      <c r="E219" s="128" t="n">
        <v>4</v>
      </c>
      <c r="F219" s="128" t="n">
        <v>23</v>
      </c>
      <c r="G219" s="90" t="inlineStr">
        <is>
          <t>https://mays.tamu.edu/departments/information-and-operations-management/</t>
        </is>
      </c>
    </row>
    <row r="220" ht="45" customHeight="1" s="91">
      <c r="A220" s="127" t="n">
        <v>32</v>
      </c>
      <c r="B220" s="127" t="inlineStr">
        <is>
          <t>Texas A&amp;M Mays</t>
        </is>
      </c>
      <c r="C220" s="127" t="inlineStr">
        <is>
          <t>Management</t>
        </is>
      </c>
      <c r="D220" s="127" t="inlineStr">
        <is>
          <t>Studying organizational dynamics, leadership, and strategic decision-making to develop effective management practices.</t>
        </is>
      </c>
      <c r="E220" s="127" t="n">
        <v>4</v>
      </c>
      <c r="F220" s="127" t="n">
        <v>22</v>
      </c>
      <c r="G220" s="90" t="inlineStr">
        <is>
          <t>https://mays.tamu.edu/departments/</t>
        </is>
      </c>
    </row>
    <row r="221" ht="45" customHeight="1" s="91">
      <c r="A221" s="128" t="n">
        <v>32</v>
      </c>
      <c r="B221" s="128" t="inlineStr">
        <is>
          <t>Texas A&amp;M Mays</t>
        </is>
      </c>
      <c r="C221" s="128" t="inlineStr">
        <is>
          <t>Marketing</t>
        </is>
      </c>
      <c r="D221" s="128" t="inlineStr">
        <is>
          <t>Generating insights into consumer behavior, market dynamics, and marketing strategy through innovative research methodologies.</t>
        </is>
      </c>
      <c r="E221" s="128" t="n">
        <v>4</v>
      </c>
      <c r="F221" s="128" t="n">
        <v>20</v>
      </c>
      <c r="G221" s="90" t="inlineStr">
        <is>
          <t>https://mays.tamu.edu/departments/</t>
        </is>
      </c>
    </row>
    <row r="222" ht="45" customHeight="1" s="91">
      <c r="A222" s="127" t="n">
        <v>33</v>
      </c>
      <c r="B222" s="127" t="inlineStr">
        <is>
          <t>Purdue Krannert</t>
        </is>
      </c>
      <c r="C222" s="127" t="inlineStr">
        <is>
          <t>Accounting</t>
        </is>
      </c>
      <c r="D222" s="127" t="inlineStr">
        <is>
          <t>Advancing knowledge in financial reporting, auditing, taxation, and accounting information systems through rigorous research and teaching.</t>
        </is>
      </c>
      <c r="E222" s="127" t="n">
        <v>4</v>
      </c>
      <c r="F222" s="127" t="n">
        <v>13</v>
      </c>
      <c r="G222" s="90" t="inlineStr">
        <is>
          <t>https://business.purdue.edu/academics/accounting/</t>
        </is>
      </c>
    </row>
    <row r="223" ht="45" customHeight="1" s="91">
      <c r="A223" s="128" t="n">
        <v>33</v>
      </c>
      <c r="B223" s="128" t="inlineStr">
        <is>
          <t>Purdue Krannert</t>
        </is>
      </c>
      <c r="C223" s="128" t="inlineStr">
        <is>
          <t>Economics</t>
        </is>
      </c>
      <c r="D223" s="128" t="inlineStr">
        <is>
          <t>Applying economic theory and empirical methods to understand business environments, policy impacts, and market behavior.</t>
        </is>
      </c>
      <c r="E223" s="128" t="n">
        <v>4</v>
      </c>
      <c r="F223" s="128" t="n">
        <v>29</v>
      </c>
      <c r="G223" s="90" t="inlineStr">
        <is>
          <t>https://business.purdue.edu/academics/economics/</t>
        </is>
      </c>
    </row>
    <row r="224" ht="45" customHeight="1" s="91">
      <c r="A224" s="127" t="n">
        <v>33</v>
      </c>
      <c r="B224" s="127" t="inlineStr">
        <is>
          <t>Purdue Krannert</t>
        </is>
      </c>
      <c r="C224" s="127" t="inlineStr">
        <is>
          <t>Finance</t>
        </is>
      </c>
      <c r="D224" s="127" t="inlineStr">
        <is>
          <t>Conducting cutting-edge research in financial markets, corporate finance, and asset pricing to inform practice and policy.</t>
        </is>
      </c>
      <c r="E224" s="127" t="n">
        <v>4</v>
      </c>
      <c r="F224" s="127" t="n">
        <v>14</v>
      </c>
      <c r="G224" s="90" t="inlineStr">
        <is>
          <t>https://business.purdue.edu/academics/finance/</t>
        </is>
      </c>
    </row>
    <row r="225" ht="45" customHeight="1" s="91">
      <c r="A225" s="128" t="n">
        <v>33</v>
      </c>
      <c r="B225" s="128" t="inlineStr">
        <is>
          <t>Purdue Krannert</t>
        </is>
      </c>
      <c r="C225" s="128" t="inlineStr">
        <is>
          <t>Management</t>
        </is>
      </c>
      <c r="D225" s="128" t="inlineStr">
        <is>
          <t>Studying organizational dynamics, leadership, and strategic decision-making to develop effective management practices.</t>
        </is>
      </c>
      <c r="E225" s="128" t="n">
        <v>4</v>
      </c>
      <c r="F225" s="128" t="n">
        <v>10</v>
      </c>
      <c r="G225" s="90" t="inlineStr">
        <is>
          <t>https://business.purdue.edu/academics/management/</t>
        </is>
      </c>
    </row>
    <row r="226" ht="45" customHeight="1" s="91">
      <c r="A226" s="127" t="n">
        <v>33</v>
      </c>
      <c r="B226" s="127" t="inlineStr">
        <is>
          <t>Purdue Krannert</t>
        </is>
      </c>
      <c r="C226" s="127" t="inlineStr">
        <is>
          <t>Marketing</t>
        </is>
      </c>
      <c r="D226" s="127" t="inlineStr">
        <is>
          <t>Generating insights into consumer behavior, market dynamics, and marketing strategy through innovative research methodologies.</t>
        </is>
      </c>
      <c r="E226" s="127" t="n">
        <v>4</v>
      </c>
      <c r="F226" s="127" t="n">
        <v>9</v>
      </c>
      <c r="G226" s="90" t="inlineStr">
        <is>
          <t>https://business.purdue.edu/academics/marketing/</t>
        </is>
      </c>
    </row>
    <row r="227" ht="45" customHeight="1" s="91">
      <c r="A227" s="128" t="n">
        <v>33</v>
      </c>
      <c r="B227" s="128" t="inlineStr">
        <is>
          <t>Purdue Krannert</t>
        </is>
      </c>
      <c r="C227" s="128" t="inlineStr">
        <is>
          <t>Organizational Behavior &amp; Human Resource Management</t>
        </is>
      </c>
      <c r="D227" s="128" t="inlineStr">
        <is>
          <t>Investigating human behavior in organizations, including motivation, group dynamics, leadership, and organizational culture.</t>
        </is>
      </c>
      <c r="E227" s="128" t="n">
        <v>4</v>
      </c>
      <c r="F227" s="128" t="n">
        <v>10</v>
      </c>
      <c r="G227" s="90" t="inlineStr">
        <is>
          <t>https://business.purdue.edu/academics/obhr/</t>
        </is>
      </c>
    </row>
    <row r="228" ht="45" customHeight="1" s="91">
      <c r="A228" s="127" t="n">
        <v>33</v>
      </c>
      <c r="B228" s="127" t="inlineStr">
        <is>
          <t>Purdue Krannert</t>
        </is>
      </c>
      <c r="C228" s="127" t="inlineStr">
        <is>
          <t>Quantitative Methods</t>
        </is>
      </c>
      <c r="D228" s="127" t="inlineStr">
        <is>
          <t>Contributing to the advancement of business knowledge through rigorous research and impactful teaching.</t>
        </is>
      </c>
      <c r="E228" s="127" t="n">
        <v>4</v>
      </c>
      <c r="F228" s="127" t="n">
        <v>9</v>
      </c>
      <c r="G228" s="90" t="inlineStr">
        <is>
          <t>https://business.purdue.edu/academics/quantitative-methods/</t>
        </is>
      </c>
    </row>
    <row r="229" ht="45" customHeight="1" s="91">
      <c r="A229" s="128" t="n">
        <v>33</v>
      </c>
      <c r="B229" s="128" t="inlineStr">
        <is>
          <t>Purdue Krannert</t>
        </is>
      </c>
      <c r="C229" s="128" t="inlineStr">
        <is>
          <t>Strategic Management</t>
        </is>
      </c>
      <c r="D229" s="128" t="inlineStr">
        <is>
          <t>Researching competitive dynamics, corporate strategy, and innovation to help firms achieve sustainable advantage.</t>
        </is>
      </c>
      <c r="E229" s="128" t="n">
        <v>4</v>
      </c>
      <c r="F229" s="128" t="n">
        <v>11</v>
      </c>
      <c r="G229" s="90" t="inlineStr">
        <is>
          <t>https://business.purdue.edu/academics/strategic-management/</t>
        </is>
      </c>
    </row>
    <row r="230" ht="45" customHeight="1" s="91">
      <c r="A230" s="127" t="n">
        <v>34</v>
      </c>
      <c r="B230" s="127" t="inlineStr">
        <is>
          <t>ASU Carey</t>
        </is>
      </c>
      <c r="C230" s="127" t="inlineStr">
        <is>
          <t>Accountancy</t>
        </is>
      </c>
      <c r="D230" s="127" t="inlineStr">
        <is>
          <t>Advancing knowledge in financial reporting, auditing, taxation, and accounting information systems through rigorous research and teaching.</t>
        </is>
      </c>
      <c r="E230" s="127" t="n">
        <v>4</v>
      </c>
      <c r="F230" s="127" t="n">
        <v>6</v>
      </c>
      <c r="G230" s="90" t="inlineStr">
        <is>
          <t>https://wpcarey.asu.edu/faculty-research/departments</t>
        </is>
      </c>
    </row>
    <row r="231" ht="45" customHeight="1" s="91">
      <c r="A231" s="128" t="n">
        <v>34</v>
      </c>
      <c r="B231" s="128" t="inlineStr">
        <is>
          <t>ASU Carey</t>
        </is>
      </c>
      <c r="C231" s="128" t="inlineStr">
        <is>
          <t>Economics</t>
        </is>
      </c>
      <c r="D231" s="128" t="inlineStr">
        <is>
          <t>Applying economic theory and empirical methods to understand business environments, policy impacts, and market behavior.</t>
        </is>
      </c>
      <c r="E231" s="128" t="n">
        <v>4</v>
      </c>
      <c r="F231" s="128" t="n">
        <v>6</v>
      </c>
      <c r="G231" s="90" t="inlineStr">
        <is>
          <t>https://wpcarey.asu.edu/faculty-research/departments</t>
        </is>
      </c>
    </row>
    <row r="232" ht="45" customHeight="1" s="91">
      <c r="A232" s="127" t="n">
        <v>34</v>
      </c>
      <c r="B232" s="127" t="inlineStr">
        <is>
          <t>ASU Carey</t>
        </is>
      </c>
      <c r="C232" s="127" t="inlineStr">
        <is>
          <t>Finance</t>
        </is>
      </c>
      <c r="D232" s="127" t="inlineStr">
        <is>
          <t>Conducting cutting-edge research in financial markets, corporate finance, and asset pricing to inform practice and policy.</t>
        </is>
      </c>
      <c r="E232" s="127" t="n">
        <v>4</v>
      </c>
      <c r="F232" s="127" t="n">
        <v>7</v>
      </c>
      <c r="G232" s="90" t="inlineStr">
        <is>
          <t>https://wpcarey.asu.edu/faculty-research/departments</t>
        </is>
      </c>
    </row>
    <row r="233" ht="45" customHeight="1" s="91">
      <c r="A233" s="128" t="n">
        <v>34</v>
      </c>
      <c r="B233" s="128" t="inlineStr">
        <is>
          <t>ASU Carey</t>
        </is>
      </c>
      <c r="C233" s="128" t="inlineStr">
        <is>
          <t>Information Systems</t>
        </is>
      </c>
      <c r="D233" s="128" t="inlineStr">
        <is>
          <t>Exploring the intersection of technology, data analytics, and business to drive digital transformation and innovation.</t>
        </is>
      </c>
      <c r="E233" s="128" t="n">
        <v>4</v>
      </c>
      <c r="F233" s="128" t="n">
        <v>6</v>
      </c>
      <c r="G233" s="90" t="inlineStr">
        <is>
          <t>https://wpcarey.asu.edu/information-systems-department</t>
        </is>
      </c>
    </row>
    <row r="234" ht="45" customHeight="1" s="91">
      <c r="A234" s="127" t="n">
        <v>34</v>
      </c>
      <c r="B234" s="127" t="inlineStr">
        <is>
          <t>ASU Carey</t>
        </is>
      </c>
      <c r="C234" s="127" t="inlineStr">
        <is>
          <t>Management &amp; Entrepreneurship</t>
        </is>
      </c>
      <c r="D234" s="127" t="inlineStr">
        <is>
          <t>Studying organizational dynamics, leadership, and strategic decision-making to develop effective management practices.</t>
        </is>
      </c>
      <c r="E234" s="127" t="n">
        <v>4</v>
      </c>
      <c r="F234" s="127" t="n">
        <v>6</v>
      </c>
      <c r="G234" s="90" t="inlineStr">
        <is>
          <t>https://wpcarey.asu.edu/faculty-research/departments</t>
        </is>
      </c>
    </row>
    <row r="235" ht="45" customHeight="1" s="91">
      <c r="A235" s="128" t="n">
        <v>34</v>
      </c>
      <c r="B235" s="128" t="inlineStr">
        <is>
          <t>ASU Carey</t>
        </is>
      </c>
      <c r="C235" s="128" t="inlineStr">
        <is>
          <t>Marketing</t>
        </is>
      </c>
      <c r="D235" s="128" t="inlineStr">
        <is>
          <t>Generating insights into consumer behavior, market dynamics, and marketing strategy through innovative research methodologies.</t>
        </is>
      </c>
      <c r="E235" s="128" t="n">
        <v>4</v>
      </c>
      <c r="F235" s="128" t="n">
        <v>6</v>
      </c>
      <c r="G235" s="90" t="inlineStr">
        <is>
          <t>https://wpcarey.asu.edu/faculty-research/departments</t>
        </is>
      </c>
    </row>
    <row r="236" ht="45" customHeight="1" s="91">
      <c r="A236" s="127" t="n">
        <v>34</v>
      </c>
      <c r="B236" s="127" t="inlineStr">
        <is>
          <t>ASU Carey</t>
        </is>
      </c>
      <c r="C236" s="127" t="inlineStr">
        <is>
          <t>Supply Chain Management</t>
        </is>
      </c>
      <c r="D236" s="127" t="inlineStr">
        <is>
          <t>Optimizing business processes, supply chains, and decision analytics to improve organizational efficiency and effectiveness.</t>
        </is>
      </c>
      <c r="E236" s="127" t="n">
        <v>4</v>
      </c>
      <c r="F236" s="127" t="n">
        <v>7</v>
      </c>
      <c r="G236" s="90" t="inlineStr">
        <is>
          <t>https://wpcarey.asu.edu/supply-chain-management-department</t>
        </is>
      </c>
    </row>
    <row r="237" ht="45" customHeight="1" s="91">
      <c r="A237" s="128" t="n">
        <v>35</v>
      </c>
      <c r="B237" s="128" t="inlineStr">
        <is>
          <t>Wisconsin SoB</t>
        </is>
      </c>
      <c r="C237" s="128" t="inlineStr">
        <is>
          <t>Accounting &amp; Information Systems</t>
        </is>
      </c>
      <c r="D237" s="128" t="inlineStr">
        <is>
          <t>Advancing knowledge in financial reporting, auditing, taxation, and accounting information systems through rigorous research and teaching.</t>
        </is>
      </c>
      <c r="E237" s="128" t="n">
        <v>4</v>
      </c>
      <c r="F237" s="128" t="n">
        <v>15</v>
      </c>
      <c r="G237" s="90" t="inlineStr">
        <is>
          <t>https://business.wisc.edu/faculty-research/accounting-information-systems/</t>
        </is>
      </c>
    </row>
    <row r="238" ht="45" customHeight="1" s="91">
      <c r="A238" s="127" t="n">
        <v>35</v>
      </c>
      <c r="B238" s="127" t="inlineStr">
        <is>
          <t>Wisconsin SoB</t>
        </is>
      </c>
      <c r="C238" s="127" t="inlineStr">
        <is>
          <t>Finance, Investment &amp; Banking</t>
        </is>
      </c>
      <c r="D238" s="127" t="inlineStr">
        <is>
          <t>Conducting cutting-edge research in financial markets, corporate finance, and asset pricing to inform practice and policy.</t>
        </is>
      </c>
      <c r="E238" s="127" t="n">
        <v>4</v>
      </c>
      <c r="F238" s="127" t="n">
        <v>17</v>
      </c>
      <c r="G238" s="90" t="inlineStr">
        <is>
          <t>https://business.wisc.edu/faculty-research/finance-investment-banking/</t>
        </is>
      </c>
    </row>
    <row r="239" ht="45" customHeight="1" s="91">
      <c r="A239" s="128" t="n">
        <v>35</v>
      </c>
      <c r="B239" s="128" t="inlineStr">
        <is>
          <t>Wisconsin SoB</t>
        </is>
      </c>
      <c r="C239" s="128" t="inlineStr">
        <is>
          <t>Management &amp; Human Resources</t>
        </is>
      </c>
      <c r="D239" s="128" t="inlineStr">
        <is>
          <t>Studying organizational dynamics, leadership, and strategic decision-making to develop effective management practices.</t>
        </is>
      </c>
      <c r="E239" s="128" t="n">
        <v>4</v>
      </c>
      <c r="F239" s="128" t="n">
        <v>18</v>
      </c>
      <c r="G239" s="90" t="inlineStr">
        <is>
          <t>https://business.wisc.edu/faculty-research/management-human-resources/</t>
        </is>
      </c>
    </row>
    <row r="240" ht="45" customHeight="1" s="91">
      <c r="A240" s="127" t="n">
        <v>35</v>
      </c>
      <c r="B240" s="127" t="inlineStr">
        <is>
          <t>Wisconsin SoB</t>
        </is>
      </c>
      <c r="C240" s="127" t="inlineStr">
        <is>
          <t>Marketing</t>
        </is>
      </c>
      <c r="D240" s="127" t="inlineStr">
        <is>
          <t>Generating insights into consumer behavior, market dynamics, and marketing strategy through innovative research methodologies.</t>
        </is>
      </c>
      <c r="E240" s="127" t="n">
        <v>4</v>
      </c>
      <c r="F240" s="127" t="n">
        <v>16</v>
      </c>
      <c r="G240" s="90" t="inlineStr">
        <is>
          <t>https://business.wisc.edu/faculty-research/marketing/</t>
        </is>
      </c>
    </row>
    <row r="241" ht="45" customHeight="1" s="91">
      <c r="A241" s="128" t="n">
        <v>35</v>
      </c>
      <c r="B241" s="128" t="inlineStr">
        <is>
          <t>Wisconsin SoB</t>
        </is>
      </c>
      <c r="C241" s="128" t="inlineStr">
        <is>
          <t>Operations and Information Management</t>
        </is>
      </c>
      <c r="D241" s="128" t="inlineStr">
        <is>
          <t>Optimizing business processes, supply chains, and decision analytics to improve organizational efficiency and effectiveness.</t>
        </is>
      </c>
      <c r="E241" s="128" t="n">
        <v>4</v>
      </c>
      <c r="F241" s="128" t="n">
        <v>14</v>
      </c>
      <c r="G241" s="90" t="inlineStr">
        <is>
          <t>https://business.wisc.edu/faculty-research/operations-information-management/</t>
        </is>
      </c>
    </row>
    <row r="242" ht="45" customHeight="1" s="91">
      <c r="A242" s="127" t="n">
        <v>35</v>
      </c>
      <c r="B242" s="127" t="inlineStr">
        <is>
          <t>Wisconsin SoB</t>
        </is>
      </c>
      <c r="C242" s="127" t="inlineStr">
        <is>
          <t>Real Estate &amp; Urban Land Economics</t>
        </is>
      </c>
      <c r="D242" s="127" t="inlineStr">
        <is>
          <t>Applying economic theory and empirical methods to understand business environments, policy impacts, and market behavior.</t>
        </is>
      </c>
      <c r="E242" s="127" t="n">
        <v>4</v>
      </c>
      <c r="F242" s="127" t="n">
        <v>6</v>
      </c>
      <c r="G242" s="90" t="inlineStr">
        <is>
          <t>https://business.wisc.edu/faculty-research/real-estate-urban-land-economics/</t>
        </is>
      </c>
    </row>
    <row r="243" ht="45" customHeight="1" s="91">
      <c r="A243" s="128" t="n">
        <v>35</v>
      </c>
      <c r="B243" s="128" t="inlineStr">
        <is>
          <t>Wisconsin SoB</t>
        </is>
      </c>
      <c r="C243" s="128" t="inlineStr">
        <is>
          <t>Risk &amp; Insurance</t>
        </is>
      </c>
      <c r="D243" s="128" t="inlineStr">
        <is>
          <t>Contributing to the advancement of business knowledge through rigorous research and impactful teaching.</t>
        </is>
      </c>
      <c r="E243" s="128" t="n">
        <v>4</v>
      </c>
      <c r="F243" s="128" t="n">
        <v>6</v>
      </c>
      <c r="G243" s="90" t="inlineStr">
        <is>
          <t>https://business.wisc.edu/faculty-research/risk-insurance/</t>
        </is>
      </c>
    </row>
    <row r="244" ht="45" customHeight="1" s="91">
      <c r="A244" s="127" t="n">
        <v>36</v>
      </c>
      <c r="B244" s="127" t="inlineStr">
        <is>
          <t>Maryland Smith</t>
        </is>
      </c>
      <c r="C244" s="127" t="inlineStr">
        <is>
          <t>Accounting &amp; Information Assurance</t>
        </is>
      </c>
      <c r="D244" s="127" t="inlineStr">
        <is>
          <t>Advancing knowledge in financial reporting, auditing, taxation, and accounting information systems through rigorous research and teaching.</t>
        </is>
      </c>
      <c r="E244" s="127" t="n">
        <v>4</v>
      </c>
      <c r="F244" s="127" t="n">
        <v>9</v>
      </c>
      <c r="G244" s="90" t="inlineStr">
        <is>
          <t>https://www.rhsmith.umd.edu/departments/accounting-information-assurance</t>
        </is>
      </c>
    </row>
    <row r="245" ht="45" customHeight="1" s="91">
      <c r="A245" s="128" t="n">
        <v>36</v>
      </c>
      <c r="B245" s="128" t="inlineStr">
        <is>
          <t>Maryland Smith</t>
        </is>
      </c>
      <c r="C245" s="128" t="inlineStr">
        <is>
          <t>Decision, Operations &amp; Information Technologies (DO&amp;IT)</t>
        </is>
      </c>
      <c r="D245" s="128" t="inlineStr">
        <is>
          <t>Optimizing business processes, supply chains, and decision analytics to improve organizational efficiency and effectiveness.</t>
        </is>
      </c>
      <c r="E245" s="128" t="n">
        <v>4</v>
      </c>
      <c r="F245" s="128" t="n">
        <v>27</v>
      </c>
      <c r="G245" s="90" t="inlineStr">
        <is>
          <t>https://www.rhsmith.umd.edu/departments/decision-operations-information-technologies</t>
        </is>
      </c>
    </row>
    <row r="246" ht="45" customHeight="1" s="91">
      <c r="A246" s="127" t="n">
        <v>36</v>
      </c>
      <c r="B246" s="127" t="inlineStr">
        <is>
          <t>Maryland Smith</t>
        </is>
      </c>
      <c r="C246" s="127" t="inlineStr">
        <is>
          <t>Finance</t>
        </is>
      </c>
      <c r="D246" s="127" t="inlineStr">
        <is>
          <t>Conducting cutting-edge research in financial markets, corporate finance, and asset pricing to inform practice and policy.</t>
        </is>
      </c>
      <c r="E246" s="127" t="n">
        <v>4</v>
      </c>
      <c r="F246" s="127" t="n">
        <v>20</v>
      </c>
      <c r="G246" s="90" t="inlineStr">
        <is>
          <t>https://www.rhsmith.umd.edu/departments/finance</t>
        </is>
      </c>
    </row>
    <row r="247" ht="45" customHeight="1" s="91">
      <c r="A247" s="128" t="n">
        <v>36</v>
      </c>
      <c r="B247" s="128" t="inlineStr">
        <is>
          <t>Maryland Smith</t>
        </is>
      </c>
      <c r="C247" s="128" t="inlineStr">
        <is>
          <t>Logistics, Business &amp; Public Policy</t>
        </is>
      </c>
      <c r="D247" s="128" t="inlineStr">
        <is>
          <t>Contributing to the advancement of business knowledge through rigorous research and impactful teaching.</t>
        </is>
      </c>
      <c r="E247" s="128" t="n">
        <v>4</v>
      </c>
      <c r="F247" s="128" t="n">
        <v>9</v>
      </c>
      <c r="G247" s="90" t="inlineStr">
        <is>
          <t>https://www.rhsmith.umd.edu/departments/logistics-business-public-policy</t>
        </is>
      </c>
    </row>
    <row r="248" ht="45" customHeight="1" s="91">
      <c r="A248" s="127" t="n">
        <v>36</v>
      </c>
      <c r="B248" s="127" t="inlineStr">
        <is>
          <t>Maryland Smith</t>
        </is>
      </c>
      <c r="C248" s="127" t="inlineStr">
        <is>
          <t>Management &amp; Organization</t>
        </is>
      </c>
      <c r="D248" s="127" t="inlineStr">
        <is>
          <t>Investigating human behavior in organizations, including motivation, group dynamics, leadership, and organizational culture.</t>
        </is>
      </c>
      <c r="E248" s="127" t="n">
        <v>4</v>
      </c>
      <c r="F248" s="127" t="n">
        <v>17</v>
      </c>
      <c r="G248" s="90" t="inlineStr">
        <is>
          <t>https://www.rhsmith.umd.edu/departments/management-organization</t>
        </is>
      </c>
    </row>
    <row r="249" ht="45" customHeight="1" s="91">
      <c r="A249" s="128" t="n">
        <v>36</v>
      </c>
      <c r="B249" s="128" t="inlineStr">
        <is>
          <t>Maryland Smith</t>
        </is>
      </c>
      <c r="C249" s="128" t="inlineStr">
        <is>
          <t>Marketing</t>
        </is>
      </c>
      <c r="D249" s="128" t="inlineStr">
        <is>
          <t>Generating insights into consumer behavior, market dynamics, and marketing strategy through innovative research methodologies.</t>
        </is>
      </c>
      <c r="E249" s="128" t="n">
        <v>4</v>
      </c>
      <c r="F249" s="128" t="n">
        <v>16</v>
      </c>
      <c r="G249" s="90" t="inlineStr">
        <is>
          <t>https://www.rhsmith.umd.edu/departments/marketing</t>
        </is>
      </c>
    </row>
    <row r="250" ht="45" customHeight="1" s="91">
      <c r="A250" s="127" t="n">
        <v>37</v>
      </c>
      <c r="B250" s="127" t="inlineStr">
        <is>
          <t>BU Questrom</t>
        </is>
      </c>
      <c r="C250" s="127" t="inlineStr">
        <is>
          <t>Accounting</t>
        </is>
      </c>
      <c r="D250" s="127" t="inlineStr">
        <is>
          <t>Advancing knowledge in financial reporting, auditing, taxation, and accounting information systems through rigorous research and teaching.</t>
        </is>
      </c>
      <c r="E250" s="127" t="n">
        <v>4</v>
      </c>
      <c r="F250" s="127" t="n">
        <v>11</v>
      </c>
      <c r="G250" s="90" t="inlineStr">
        <is>
          <t>https://bu.edu/questrom/faculty/academic-departments/</t>
        </is>
      </c>
    </row>
    <row r="251" ht="45" customHeight="1" s="91">
      <c r="A251" s="128" t="n">
        <v>37</v>
      </c>
      <c r="B251" s="128" t="inlineStr">
        <is>
          <t>BU Questrom</t>
        </is>
      </c>
      <c r="C251" s="128" t="inlineStr">
        <is>
          <t>Finance</t>
        </is>
      </c>
      <c r="D251" s="128" t="inlineStr">
        <is>
          <t>Conducting cutting-edge research in financial markets, corporate finance, and asset pricing to inform practice and policy.</t>
        </is>
      </c>
      <c r="E251" s="128" t="n">
        <v>4</v>
      </c>
      <c r="F251" s="128" t="n">
        <v>17</v>
      </c>
      <c r="G251" s="90" t="inlineStr">
        <is>
          <t>https://bu.edu/questrom/faculty/academic-departments/</t>
        </is>
      </c>
    </row>
    <row r="252" ht="45" customHeight="1" s="91">
      <c r="A252" s="127" t="n">
        <v>37</v>
      </c>
      <c r="B252" s="127" t="inlineStr">
        <is>
          <t>BU Questrom</t>
        </is>
      </c>
      <c r="C252" s="127" t="inlineStr">
        <is>
          <t>Information Systems</t>
        </is>
      </c>
      <c r="D252" s="127" t="inlineStr">
        <is>
          <t>Exploring the intersection of technology, data analytics, and business to drive digital transformation and innovation.</t>
        </is>
      </c>
      <c r="E252" s="127" t="n">
        <v>4</v>
      </c>
      <c r="F252" s="127" t="n">
        <v>15</v>
      </c>
      <c r="G252" s="90" t="inlineStr">
        <is>
          <t>https://www.bu.edu/questrom/faculty-research/academic-departments/information-systems/</t>
        </is>
      </c>
    </row>
    <row r="253" ht="45" customHeight="1" s="91">
      <c r="A253" s="128" t="n">
        <v>37</v>
      </c>
      <c r="B253" s="128" t="inlineStr">
        <is>
          <t>BU Questrom</t>
        </is>
      </c>
      <c r="C253" s="128" t="inlineStr">
        <is>
          <t>Management &amp; Organizations</t>
        </is>
      </c>
      <c r="D253" s="128" t="inlineStr">
        <is>
          <t>Investigating human behavior in organizations, including motivation, group dynamics, leadership, and organizational culture.</t>
        </is>
      </c>
      <c r="E253" s="128" t="n">
        <v>4</v>
      </c>
      <c r="F253" s="128" t="n">
        <v>11</v>
      </c>
      <c r="G253" s="90" t="inlineStr">
        <is>
          <t>https://bu.edu/questrom/faculty/academic-departments/</t>
        </is>
      </c>
    </row>
    <row r="254" ht="45" customHeight="1" s="91">
      <c r="A254" s="127" t="n">
        <v>37</v>
      </c>
      <c r="B254" s="127" t="inlineStr">
        <is>
          <t>BU Questrom</t>
        </is>
      </c>
      <c r="C254" s="127" t="inlineStr">
        <is>
          <t>Marketing</t>
        </is>
      </c>
      <c r="D254" s="127" t="inlineStr">
        <is>
          <t>Generating insights into consumer behavior, market dynamics, and marketing strategy through innovative research methodologies.</t>
        </is>
      </c>
      <c r="E254" s="127" t="n">
        <v>4</v>
      </c>
      <c r="F254" s="127" t="n">
        <v>17</v>
      </c>
      <c r="G254" s="90" t="inlineStr">
        <is>
          <t>https://bu.edu/questrom/faculty/academic-departments/</t>
        </is>
      </c>
    </row>
    <row r="255" ht="45" customHeight="1" s="91">
      <c r="A255" s="128" t="n">
        <v>37</v>
      </c>
      <c r="B255" s="128" t="inlineStr">
        <is>
          <t>BU Questrom</t>
        </is>
      </c>
      <c r="C255" s="128" t="inlineStr">
        <is>
          <t>Markets, Public Policy &amp; Law</t>
        </is>
      </c>
      <c r="D255" s="128" t="inlineStr">
        <is>
          <t>Contributing to the advancement of business knowledge through rigorous research and impactful teaching.</t>
        </is>
      </c>
      <c r="E255" s="128" t="n">
        <v>4</v>
      </c>
      <c r="F255" s="128" t="n">
        <v>12</v>
      </c>
      <c r="G255" s="90" t="inlineStr">
        <is>
          <t>https://bu.edu/questrom/faculty/academic-departments/</t>
        </is>
      </c>
    </row>
    <row r="256" ht="45" customHeight="1" s="91">
      <c r="A256" s="127" t="n">
        <v>37</v>
      </c>
      <c r="B256" s="127" t="inlineStr">
        <is>
          <t>BU Questrom</t>
        </is>
      </c>
      <c r="C256" s="127" t="inlineStr">
        <is>
          <t>Operations &amp; Technology Management</t>
        </is>
      </c>
      <c r="D256" s="127" t="inlineStr">
        <is>
          <t>Optimizing business processes, supply chains, and decision analytics to improve organizational efficiency and effectiveness.</t>
        </is>
      </c>
      <c r="E256" s="127" t="n">
        <v>4</v>
      </c>
      <c r="F256" s="127" t="n">
        <v>7</v>
      </c>
      <c r="G256" s="90" t="inlineStr">
        <is>
          <t>https://www.bu.edu/questrom/faculty-research/academic-departments/operations-technology-management/</t>
        </is>
      </c>
    </row>
    <row r="257" ht="45" customHeight="1" s="91">
      <c r="A257" s="128" t="n">
        <v>37</v>
      </c>
      <c r="B257" s="128" t="inlineStr">
        <is>
          <t>BU Questrom</t>
        </is>
      </c>
      <c r="C257" s="128" t="inlineStr">
        <is>
          <t>Strategy &amp; Innovation</t>
        </is>
      </c>
      <c r="D257" s="128" t="inlineStr">
        <is>
          <t>Researching competitive dynamics, corporate strategy, and innovation to help firms achieve sustainable advantage.</t>
        </is>
      </c>
      <c r="E257" s="128" t="n">
        <v>4</v>
      </c>
      <c r="F257" s="128" t="n">
        <v>11</v>
      </c>
      <c r="G257" s="90" t="inlineStr">
        <is>
          <t>https://bu.edu/questrom/faculty/academic-departments/</t>
        </is>
      </c>
    </row>
    <row r="258" ht="45" customHeight="1" s="91">
      <c r="A258" s="127" t="n">
        <v>38</v>
      </c>
      <c r="B258" s="127" t="inlineStr">
        <is>
          <t>UF Warrington</t>
        </is>
      </c>
      <c r="C258" s="127" t="inlineStr">
        <is>
          <t>Accounting (Fisher School)</t>
        </is>
      </c>
      <c r="D258" s="127" t="inlineStr">
        <is>
          <t>Advancing knowledge in financial reporting, auditing, taxation, and accounting information systems through rigorous research and teaching.</t>
        </is>
      </c>
      <c r="E258" s="127" t="n">
        <v>4</v>
      </c>
      <c r="F258" s="127" t="n">
        <v>15</v>
      </c>
      <c r="G258" s="90" t="inlineStr">
        <is>
          <t>https://warrington.ufl.edu/faculty-research/academic-groups/</t>
        </is>
      </c>
    </row>
    <row r="259" ht="45" customHeight="1" s="91">
      <c r="A259" s="128" t="n">
        <v>38</v>
      </c>
      <c r="B259" s="128" t="inlineStr">
        <is>
          <t>UF Warrington</t>
        </is>
      </c>
      <c r="C259" s="128" t="inlineStr">
        <is>
          <t>Finance, Insurance &amp; Real Estate</t>
        </is>
      </c>
      <c r="D259" s="128" t="inlineStr">
        <is>
          <t>Conducting cutting-edge research in financial markets, corporate finance, and asset pricing to inform practice and policy.</t>
        </is>
      </c>
      <c r="E259" s="128" t="n">
        <v>4</v>
      </c>
      <c r="F259" s="128" t="n">
        <v>22</v>
      </c>
      <c r="G259" s="90" t="inlineStr">
        <is>
          <t>https://warrington.ufl.edu/faculty-research/academic-groups/</t>
        </is>
      </c>
    </row>
    <row r="260" ht="45" customHeight="1" s="91">
      <c r="A260" s="127" t="n">
        <v>38</v>
      </c>
      <c r="B260" s="127" t="inlineStr">
        <is>
          <t>UF Warrington</t>
        </is>
      </c>
      <c r="C260" s="127" t="inlineStr">
        <is>
          <t>Information Systems and Operations Management (ISOM)</t>
        </is>
      </c>
      <c r="D260" s="127" t="inlineStr">
        <is>
          <t>Optimizing business processes, supply chains, and decision analytics to improve organizational efficiency and effectiveness.</t>
        </is>
      </c>
      <c r="E260" s="127" t="n">
        <v>4</v>
      </c>
      <c r="F260" s="127" t="n">
        <v>21</v>
      </c>
      <c r="G260" s="90" t="inlineStr">
        <is>
          <t>https://warrington.ufl.edu/information-systems-and-operations-management-department/</t>
        </is>
      </c>
    </row>
    <row r="261" ht="45" customHeight="1" s="91">
      <c r="A261" s="128" t="n">
        <v>38</v>
      </c>
      <c r="B261" s="128" t="inlineStr">
        <is>
          <t>UF Warrington</t>
        </is>
      </c>
      <c r="C261" s="128" t="inlineStr">
        <is>
          <t>Management</t>
        </is>
      </c>
      <c r="D261" s="128" t="inlineStr">
        <is>
          <t>Studying organizational dynamics, leadership, and strategic decision-making to develop effective management practices.</t>
        </is>
      </c>
      <c r="E261" s="128" t="n">
        <v>4</v>
      </c>
      <c r="F261" s="128" t="n">
        <v>15</v>
      </c>
      <c r="G261" s="90" t="inlineStr">
        <is>
          <t>https://warrington.ufl.edu/faculty-research/academic-groups/</t>
        </is>
      </c>
    </row>
    <row r="262" ht="45" customHeight="1" s="91">
      <c r="A262" s="127" t="n">
        <v>38</v>
      </c>
      <c r="B262" s="127" t="inlineStr">
        <is>
          <t>UF Warrington</t>
        </is>
      </c>
      <c r="C262" s="127" t="inlineStr">
        <is>
          <t>Marketing</t>
        </is>
      </c>
      <c r="D262" s="127" t="inlineStr">
        <is>
          <t>Generating insights into consumer behavior, market dynamics, and marketing strategy through innovative research methodologies.</t>
        </is>
      </c>
      <c r="E262" s="127" t="n">
        <v>4</v>
      </c>
      <c r="F262" s="127" t="n">
        <v>14</v>
      </c>
      <c r="G262" s="90" t="inlineStr">
        <is>
          <t>https://warrington.ufl.edu/faculty-research/academic-groups/</t>
        </is>
      </c>
    </row>
    <row r="263" ht="45" customHeight="1" s="91">
      <c r="A263" s="128" t="n">
        <v>39</v>
      </c>
      <c r="B263" s="128" t="inlineStr">
        <is>
          <t>SMU Cox</t>
        </is>
      </c>
      <c r="C263" s="128" t="inlineStr">
        <is>
          <t>Accounting</t>
        </is>
      </c>
      <c r="D263" s="128" t="inlineStr">
        <is>
          <t>Advancing knowledge in financial reporting, auditing, taxation, and accounting information systems through rigorous research and teaching.</t>
        </is>
      </c>
      <c r="E263" s="128" t="n">
        <v>4</v>
      </c>
      <c r="F263" s="128" t="n">
        <v>10</v>
      </c>
      <c r="G263" s="90" t="inlineStr">
        <is>
          <t>https://smu.edu/cox/academics/departments</t>
        </is>
      </c>
    </row>
    <row r="264" ht="45" customHeight="1" s="91">
      <c r="A264" s="127" t="n">
        <v>39</v>
      </c>
      <c r="B264" s="127" t="inlineStr">
        <is>
          <t>SMU Cox</t>
        </is>
      </c>
      <c r="C264" s="127" t="inlineStr">
        <is>
          <t>Finance</t>
        </is>
      </c>
      <c r="D264" s="127" t="inlineStr">
        <is>
          <t>Conducting cutting-edge research in financial markets, corporate finance, and asset pricing to inform practice and policy.</t>
        </is>
      </c>
      <c r="E264" s="127" t="n">
        <v>4</v>
      </c>
      <c r="F264" s="127" t="n">
        <v>19</v>
      </c>
      <c r="G264" s="90" t="inlineStr">
        <is>
          <t>https://smu.edu/cox/academics/departments</t>
        </is>
      </c>
    </row>
    <row r="265" ht="45" customHeight="1" s="91">
      <c r="A265" s="128" t="n">
        <v>39</v>
      </c>
      <c r="B265" s="128" t="inlineStr">
        <is>
          <t>SMU Cox</t>
        </is>
      </c>
      <c r="C265" s="128" t="inlineStr">
        <is>
          <t>Information Technology &amp; Operations Management (ITOM)</t>
        </is>
      </c>
      <c r="D265" s="128" t="inlineStr">
        <is>
          <t>Optimizing business processes, supply chains, and decision analytics to improve organizational efficiency and effectiveness.</t>
        </is>
      </c>
      <c r="E265" s="128" t="n">
        <v>4</v>
      </c>
      <c r="F265" s="128" t="n">
        <v>9</v>
      </c>
      <c r="G265" s="90" t="inlineStr">
        <is>
          <t>https://www.smu.edu/cox/academics/information-technology-and-operations-management-department</t>
        </is>
      </c>
    </row>
    <row r="266" ht="45" customHeight="1" s="91">
      <c r="A266" s="127" t="n">
        <v>39</v>
      </c>
      <c r="B266" s="127" t="inlineStr">
        <is>
          <t>SMU Cox</t>
        </is>
      </c>
      <c r="C266" s="127" t="inlineStr">
        <is>
          <t>Management, Strategy &amp; Entrepreneurship</t>
        </is>
      </c>
      <c r="D266" s="127" t="inlineStr">
        <is>
          <t>Researching competitive dynamics, corporate strategy, and innovation to help firms achieve sustainable advantage.</t>
        </is>
      </c>
      <c r="E266" s="127" t="n">
        <v>4</v>
      </c>
      <c r="F266" s="127" t="n">
        <v>8</v>
      </c>
      <c r="G266" s="90" t="inlineStr">
        <is>
          <t>https://smu.edu/cox/academics/departments</t>
        </is>
      </c>
    </row>
    <row r="267" ht="45" customHeight="1" s="91">
      <c r="A267" s="128" t="n">
        <v>39</v>
      </c>
      <c r="B267" s="128" t="inlineStr">
        <is>
          <t>SMU Cox</t>
        </is>
      </c>
      <c r="C267" s="128" t="inlineStr">
        <is>
          <t>Marketing</t>
        </is>
      </c>
      <c r="D267" s="128" t="inlineStr">
        <is>
          <t>Generating insights into consumer behavior, market dynamics, and marketing strategy through innovative research methodologies.</t>
        </is>
      </c>
      <c r="E267" s="128" t="n">
        <v>4</v>
      </c>
      <c r="F267" s="128" t="n">
        <v>8</v>
      </c>
      <c r="G267" s="90" t="inlineStr">
        <is>
          <t>https://smu.edu/cox/academics/departments</t>
        </is>
      </c>
    </row>
    <row r="268" ht="45" customHeight="1" s="91">
      <c r="A268" s="127" t="n">
        <v>39</v>
      </c>
      <c r="B268" s="127" t="inlineStr">
        <is>
          <t>SMU Cox</t>
        </is>
      </c>
      <c r="C268" s="127" t="inlineStr">
        <is>
          <t>Real Estate</t>
        </is>
      </c>
      <c r="D268" s="127" t="inlineStr">
        <is>
          <t>Contributing to the advancement of business knowledge through rigorous research and impactful teaching.</t>
        </is>
      </c>
      <c r="E268" s="127" t="n">
        <v>4</v>
      </c>
      <c r="F268" s="127" t="n">
        <v>1</v>
      </c>
      <c r="G268" s="90" t="inlineStr">
        <is>
          <t>https://smu.edu/cox/academics/departments</t>
        </is>
      </c>
    </row>
    <row r="269" ht="45" customHeight="1" s="91">
      <c r="A269" s="128" t="n">
        <v>40</v>
      </c>
      <c r="B269" s="128" t="inlineStr">
        <is>
          <t>UW Foster</t>
        </is>
      </c>
      <c r="C269" s="128" t="inlineStr">
        <is>
          <t>Accounting</t>
        </is>
      </c>
      <c r="D269" s="128" t="inlineStr">
        <is>
          <t>Advancing knowledge in financial reporting, auditing, taxation, and accounting information systems through rigorous research and teaching.</t>
        </is>
      </c>
      <c r="E269" s="128" t="n">
        <v>4</v>
      </c>
      <c r="F269" s="128" t="n">
        <v>18</v>
      </c>
      <c r="G269" s="90" t="inlineStr">
        <is>
          <t>https://foster.uw.edu/faculty-research/academic-departments/</t>
        </is>
      </c>
    </row>
    <row r="270" ht="45" customHeight="1" s="91">
      <c r="A270" s="127" t="n">
        <v>40</v>
      </c>
      <c r="B270" s="127" t="inlineStr">
        <is>
          <t>UW Foster</t>
        </is>
      </c>
      <c r="C270" s="127" t="inlineStr">
        <is>
          <t>Finance &amp; Business Economics</t>
        </is>
      </c>
      <c r="D270" s="127" t="inlineStr">
        <is>
          <t>Conducting cutting-edge research in financial markets, corporate finance, and asset pricing to inform practice and policy.</t>
        </is>
      </c>
      <c r="E270" s="127" t="n">
        <v>4</v>
      </c>
      <c r="F270" s="127" t="n">
        <v>18</v>
      </c>
      <c r="G270" s="90" t="inlineStr">
        <is>
          <t>https://foster.uw.edu/faculty-research/academic-departments/</t>
        </is>
      </c>
    </row>
    <row r="271" ht="45" customHeight="1" s="91">
      <c r="A271" s="128" t="n">
        <v>40</v>
      </c>
      <c r="B271" s="128" t="inlineStr">
        <is>
          <t>UW Foster</t>
        </is>
      </c>
      <c r="C271" s="128" t="inlineStr">
        <is>
          <t>Information Systems and Operations Management (ISOM)</t>
        </is>
      </c>
      <c r="D271" s="128" t="inlineStr">
        <is>
          <t>Optimizing business processes, supply chains, and decision analytics to improve organizational efficiency and effectiveness.</t>
        </is>
      </c>
      <c r="E271" s="128" t="n">
        <v>4</v>
      </c>
      <c r="F271" s="128" t="n">
        <v>9</v>
      </c>
      <c r="G271" s="90" t="inlineStr">
        <is>
          <t>https://foster.uw.edu/faculty-research/academic-departments/information-systems-and-operations-management/</t>
        </is>
      </c>
    </row>
    <row r="272" ht="45" customHeight="1" s="91">
      <c r="A272" s="127" t="n">
        <v>40</v>
      </c>
      <c r="B272" s="127" t="inlineStr">
        <is>
          <t>UW Foster</t>
        </is>
      </c>
      <c r="C272" s="127" t="inlineStr">
        <is>
          <t>Management &amp; Organization</t>
        </is>
      </c>
      <c r="D272" s="127" t="inlineStr">
        <is>
          <t>Investigating human behavior in organizations, including motivation, group dynamics, leadership, and organizational culture.</t>
        </is>
      </c>
      <c r="E272" s="127" t="n">
        <v>4</v>
      </c>
      <c r="F272" s="127" t="n">
        <v>20</v>
      </c>
      <c r="G272" s="90" t="inlineStr">
        <is>
          <t>https://foster.uw.edu/faculty-research/academic-departments/</t>
        </is>
      </c>
    </row>
    <row r="273" ht="45" customHeight="1" s="91">
      <c r="A273" s="128" t="n">
        <v>40</v>
      </c>
      <c r="B273" s="128" t="inlineStr">
        <is>
          <t>UW Foster</t>
        </is>
      </c>
      <c r="C273" s="128" t="inlineStr">
        <is>
          <t>Marketing &amp; International Business</t>
        </is>
      </c>
      <c r="D273" s="128" t="inlineStr">
        <is>
          <t>Generating insights into consumer behavior, market dynamics, and marketing strategy through innovative research methodologies.</t>
        </is>
      </c>
      <c r="E273" s="128" t="n">
        <v>4</v>
      </c>
      <c r="F273" s="128" t="n">
        <v>17</v>
      </c>
      <c r="G273" s="90" t="inlineStr">
        <is>
          <t>https://foster.uw.edu/faculty-research/academic-departments/</t>
        </is>
      </c>
    </row>
    <row r="274" ht="45" customHeight="1" s="91">
      <c r="A274" s="127" t="n">
        <v>41</v>
      </c>
      <c r="B274" s="127" t="inlineStr">
        <is>
          <t>Pitt Katz</t>
        </is>
      </c>
      <c r="C274" s="127" t="inlineStr">
        <is>
          <t>Accounting</t>
        </is>
      </c>
      <c r="D274" s="127" t="inlineStr">
        <is>
          <t>Advancing knowledge in financial reporting, auditing, taxation, and accounting information systems through rigorous research and teaching.</t>
        </is>
      </c>
      <c r="E274" s="127" t="n">
        <v>4</v>
      </c>
      <c r="F274" s="127" t="n">
        <v>9</v>
      </c>
      <c r="G274" s="90" t="inlineStr">
        <is>
          <t>https://business.pitt.edu/academics/</t>
        </is>
      </c>
    </row>
    <row r="275" ht="45" customHeight="1" s="91">
      <c r="A275" s="128" t="n">
        <v>41</v>
      </c>
      <c r="B275" s="128" t="inlineStr">
        <is>
          <t>Pitt Katz</t>
        </is>
      </c>
      <c r="C275" s="128" t="inlineStr">
        <is>
          <t>Business Analytics and Operations</t>
        </is>
      </c>
      <c r="D275" s="128" t="inlineStr">
        <is>
          <t>Optimizing business processes, supply chains, and decision analytics to improve organizational efficiency and effectiveness.</t>
        </is>
      </c>
      <c r="E275" s="128" t="n">
        <v>4</v>
      </c>
      <c r="F275" s="128" t="n">
        <v>9</v>
      </c>
      <c r="G275" s="90" t="inlineStr">
        <is>
          <t>https://www.business.pitt.edu/academics/business-analytics-operations/</t>
        </is>
      </c>
    </row>
    <row r="276" ht="45" customHeight="1" s="91">
      <c r="A276" s="127" t="n">
        <v>41</v>
      </c>
      <c r="B276" s="127" t="inlineStr">
        <is>
          <t>Pitt Katz</t>
        </is>
      </c>
      <c r="C276" s="127" t="inlineStr">
        <is>
          <t>Finance</t>
        </is>
      </c>
      <c r="D276" s="127" t="inlineStr">
        <is>
          <t>Conducting cutting-edge research in financial markets, corporate finance, and asset pricing to inform practice and policy.</t>
        </is>
      </c>
      <c r="E276" s="127" t="n">
        <v>4</v>
      </c>
      <c r="F276" s="127" t="n">
        <v>12</v>
      </c>
      <c r="G276" s="90" t="inlineStr">
        <is>
          <t>https://business.pitt.edu/academics/</t>
        </is>
      </c>
    </row>
    <row r="277" ht="45" customHeight="1" s="91">
      <c r="A277" s="128" t="n">
        <v>41</v>
      </c>
      <c r="B277" s="128" t="inlineStr">
        <is>
          <t>Pitt Katz</t>
        </is>
      </c>
      <c r="C277" s="128" t="inlineStr">
        <is>
          <t>Information Systems and Technology Management</t>
        </is>
      </c>
      <c r="D277" s="128" t="inlineStr">
        <is>
          <t>Exploring the intersection of technology, data analytics, and business to drive digital transformation and innovation.</t>
        </is>
      </c>
      <c r="E277" s="128" t="n">
        <v>4</v>
      </c>
      <c r="F277" s="128" t="n">
        <v>6</v>
      </c>
      <c r="G277" s="90" t="inlineStr">
        <is>
          <t>https://www.business.pitt.edu/academics/information-systems-technology-management/</t>
        </is>
      </c>
    </row>
    <row r="278" ht="45" customHeight="1" s="91">
      <c r="A278" s="127" t="n">
        <v>41</v>
      </c>
      <c r="B278" s="127" t="inlineStr">
        <is>
          <t>Pitt Katz</t>
        </is>
      </c>
      <c r="C278" s="127" t="inlineStr">
        <is>
          <t>Marketing</t>
        </is>
      </c>
      <c r="D278" s="127" t="inlineStr">
        <is>
          <t>Generating insights into consumer behavior, market dynamics, and marketing strategy through innovative research methodologies.</t>
        </is>
      </c>
      <c r="E278" s="127" t="n">
        <v>4</v>
      </c>
      <c r="F278" s="127" t="n">
        <v>7</v>
      </c>
      <c r="G278" s="90" t="inlineStr">
        <is>
          <t>https://business.pitt.edu/academics/</t>
        </is>
      </c>
    </row>
    <row r="279" ht="45" customHeight="1" s="91">
      <c r="A279" s="128" t="n">
        <v>41</v>
      </c>
      <c r="B279" s="128" t="inlineStr">
        <is>
          <t>Pitt Katz</t>
        </is>
      </c>
      <c r="C279" s="128" t="inlineStr">
        <is>
          <t>Organizational Behavior &amp; Human Resources</t>
        </is>
      </c>
      <c r="D279" s="128" t="inlineStr">
        <is>
          <t>Investigating human behavior in organizations, including motivation, group dynamics, leadership, and organizational culture.</t>
        </is>
      </c>
      <c r="E279" s="128" t="n">
        <v>4</v>
      </c>
      <c r="F279" s="128" t="n">
        <v>7</v>
      </c>
      <c r="G279" s="90" t="inlineStr">
        <is>
          <t>https://business.pitt.edu/academics/</t>
        </is>
      </c>
    </row>
    <row r="280" ht="45" customHeight="1" s="91">
      <c r="A280" s="127" t="n">
        <v>41</v>
      </c>
      <c r="B280" s="127" t="inlineStr">
        <is>
          <t>Pitt Katz</t>
        </is>
      </c>
      <c r="C280" s="127" t="inlineStr">
        <is>
          <t>Strategic Management</t>
        </is>
      </c>
      <c r="D280" s="127" t="inlineStr">
        <is>
          <t>Researching competitive dynamics, corporate strategy, and innovation to help firms achieve sustainable advantage.</t>
        </is>
      </c>
      <c r="E280" s="127" t="n">
        <v>4</v>
      </c>
      <c r="F280" s="127" t="n">
        <v>8</v>
      </c>
      <c r="G280" s="90" t="inlineStr">
        <is>
          <t>https://business.pitt.edu/academics/</t>
        </is>
      </c>
    </row>
    <row r="281" ht="45" customHeight="1" s="91">
      <c r="A281" s="128" t="n">
        <v>42</v>
      </c>
      <c r="B281" s="128" t="inlineStr">
        <is>
          <t>NEU DAmore-McKim</t>
        </is>
      </c>
      <c r="C281" s="128" t="inlineStr">
        <is>
          <t>Accounting</t>
        </is>
      </c>
      <c r="D281" s="128" t="inlineStr">
        <is>
          <t>Advancing knowledge in financial reporting, auditing, taxation, and accounting information systems through rigorous research and teaching.</t>
        </is>
      </c>
      <c r="E281" s="128" t="n">
        <v>4</v>
      </c>
      <c r="F281" s="128" t="n">
        <v>6</v>
      </c>
      <c r="G281" s="90" t="inlineStr">
        <is>
          <t>https://damore-mckim.northeastern.edu/academic-groups/</t>
        </is>
      </c>
    </row>
    <row r="282" ht="45" customHeight="1" s="91">
      <c r="A282" s="127" t="n">
        <v>42</v>
      </c>
      <c r="B282" s="127" t="inlineStr">
        <is>
          <t>NEU DAmore-McKim</t>
        </is>
      </c>
      <c r="C282" s="127" t="inlineStr">
        <is>
          <t>Economics</t>
        </is>
      </c>
      <c r="D282" s="127" t="inlineStr">
        <is>
          <t>Applying economic theory and empirical methods to understand business environments, policy impacts, and market behavior.</t>
        </is>
      </c>
      <c r="E282" s="127" t="n">
        <v>4</v>
      </c>
      <c r="F282" s="127" t="n">
        <v>6</v>
      </c>
      <c r="G282" s="90" t="inlineStr">
        <is>
          <t>https://damore-mckim.northeastern.edu/academic-groups/</t>
        </is>
      </c>
    </row>
    <row r="283" ht="45" customHeight="1" s="91">
      <c r="A283" s="128" t="n">
        <v>42</v>
      </c>
      <c r="B283" s="128" t="inlineStr">
        <is>
          <t>NEU DAmore-McKim</t>
        </is>
      </c>
      <c r="C283" s="128" t="inlineStr">
        <is>
          <t>Finance</t>
        </is>
      </c>
      <c r="D283" s="128" t="inlineStr">
        <is>
          <t>Conducting cutting-edge research in financial markets, corporate finance, and asset pricing to inform practice and policy.</t>
        </is>
      </c>
      <c r="E283" s="128" t="n">
        <v>4</v>
      </c>
      <c r="F283" s="128" t="n">
        <v>8</v>
      </c>
      <c r="G283" s="90" t="inlineStr">
        <is>
          <t>https://damore-mckim.northeastern.edu/academic-groups/</t>
        </is>
      </c>
    </row>
    <row r="284" ht="45" customHeight="1" s="91">
      <c r="A284" s="127" t="n">
        <v>42</v>
      </c>
      <c r="B284" s="127" t="inlineStr">
        <is>
          <t>NEU DAmore-McKim</t>
        </is>
      </c>
      <c r="C284" s="127" t="inlineStr">
        <is>
          <t>Management &amp; Organizational Development</t>
        </is>
      </c>
      <c r="D284" s="127" t="inlineStr">
        <is>
          <t>Investigating human behavior in organizations, including motivation, group dynamics, leadership, and organizational culture.</t>
        </is>
      </c>
      <c r="E284" s="127" t="n">
        <v>4</v>
      </c>
      <c r="F284" s="127" t="n">
        <v>7</v>
      </c>
      <c r="G284" s="90" t="inlineStr">
        <is>
          <t>https://damore-mckim.northeastern.edu/academic-groups/</t>
        </is>
      </c>
    </row>
    <row r="285" ht="45" customHeight="1" s="91">
      <c r="A285" s="128" t="n">
        <v>42</v>
      </c>
      <c r="B285" s="128" t="inlineStr">
        <is>
          <t>NEU DAmore-McKim</t>
        </is>
      </c>
      <c r="C285" s="128" t="inlineStr">
        <is>
          <t>Supply Chain &amp; Information Management (Academic Group)</t>
        </is>
      </c>
      <c r="D285" s="128" t="inlineStr">
        <is>
          <t>Exploring the intersection of technology, data analytics, and business to drive digital transformation and innovation.</t>
        </is>
      </c>
      <c r="E285" s="128" t="n">
        <v>4</v>
      </c>
      <c r="F285" s="128" t="n">
        <v>6</v>
      </c>
      <c r="G285" s="90" t="inlineStr">
        <is>
          <t>https://damore-mckim.northeastern.edu/supply-chain/</t>
        </is>
      </c>
    </row>
    <row r="286" ht="45" customHeight="1" s="91">
      <c r="A286" s="127" t="n">
        <v>42</v>
      </c>
      <c r="B286" s="127" t="inlineStr">
        <is>
          <t>NEU DAmore-McKim</t>
        </is>
      </c>
      <c r="C286" s="127" t="inlineStr">
        <is>
          <t>Marketing</t>
        </is>
      </c>
      <c r="D286" s="127" t="inlineStr">
        <is>
          <t>Generating insights into consumer behavior, market dynamics, and marketing strategy through innovative research methodologies.</t>
        </is>
      </c>
      <c r="E286" s="127" t="n">
        <v>4</v>
      </c>
      <c r="F286" s="127" t="n">
        <v>6</v>
      </c>
      <c r="G286" s="90" t="inlineStr">
        <is>
          <t>https://damore-mckim.northeastern.edu/academic-groups/</t>
        </is>
      </c>
    </row>
    <row r="287" ht="45" customHeight="1" s="91">
      <c r="A287" s="128" t="n">
        <v>42</v>
      </c>
      <c r="B287" s="128" t="inlineStr">
        <is>
          <t>NEU DAmore-McKim</t>
        </is>
      </c>
      <c r="C287" s="128" t="inlineStr">
        <is>
          <t>Supply Chain &amp; Information Management (Academic Group)</t>
        </is>
      </c>
      <c r="D287" s="128" t="inlineStr">
        <is>
          <t>Optimizing business processes, supply chains, and decision analytics to improve organizational efficiency and effectiveness.</t>
        </is>
      </c>
      <c r="E287" s="128" t="n">
        <v>4</v>
      </c>
      <c r="F287" s="128" t="n">
        <v>7</v>
      </c>
      <c r="G287" s="90" t="inlineStr">
        <is>
          <t>https://damore-mckim.northeastern.edu/supply-chain/</t>
        </is>
      </c>
    </row>
    <row r="288" ht="45" customHeight="1" s="91">
      <c r="A288" s="127" t="n">
        <v>43</v>
      </c>
      <c r="B288" s="127" t="inlineStr">
        <is>
          <t>Tulane Freeman</t>
        </is>
      </c>
      <c r="C288" s="127" t="inlineStr">
        <is>
          <t>Accounting</t>
        </is>
      </c>
      <c r="D288" s="127" t="inlineStr">
        <is>
          <t>Advancing knowledge in financial reporting, auditing, taxation, and accounting information systems through rigorous research and teaching.</t>
        </is>
      </c>
      <c r="E288" s="127" t="n">
        <v>4</v>
      </c>
      <c r="F288" s="127" t="n">
        <v>9</v>
      </c>
      <c r="G288" s="90" t="inlineStr">
        <is>
          <t>https://freeman.tulane.edu/faculty-research/accounting</t>
        </is>
      </c>
    </row>
    <row r="289" ht="45" customHeight="1" s="91">
      <c r="A289" s="128" t="n">
        <v>43</v>
      </c>
      <c r="B289" s="128" t="inlineStr">
        <is>
          <t>Tulane Freeman</t>
        </is>
      </c>
      <c r="C289" s="128" t="inlineStr">
        <is>
          <t>Finance</t>
        </is>
      </c>
      <c r="D289" s="128" t="inlineStr">
        <is>
          <t>Conducting cutting-edge research in financial markets, corporate finance, and asset pricing to inform practice and policy.</t>
        </is>
      </c>
      <c r="E289" s="128" t="n">
        <v>4</v>
      </c>
      <c r="F289" s="128" t="n">
        <v>18</v>
      </c>
      <c r="G289" s="90" t="inlineStr">
        <is>
          <t>https://freeman.tulane.edu/faculty-research/finance</t>
        </is>
      </c>
    </row>
    <row r="290" ht="45" customHeight="1" s="91">
      <c r="A290" s="127" t="n">
        <v>43</v>
      </c>
      <c r="B290" s="127" t="inlineStr">
        <is>
          <t>Tulane Freeman</t>
        </is>
      </c>
      <c r="C290" s="127" t="inlineStr">
        <is>
          <t>Management</t>
        </is>
      </c>
      <c r="D290" s="127" t="inlineStr">
        <is>
          <t>Studying organizational dynamics, leadership, and strategic decision-making to develop effective management practices.</t>
        </is>
      </c>
      <c r="E290" s="127" t="n">
        <v>4</v>
      </c>
      <c r="F290" s="127" t="n">
        <v>13</v>
      </c>
      <c r="G290" s="90" t="inlineStr">
        <is>
          <t>https://freeman.tulane.edu/faculty-research/management</t>
        </is>
      </c>
    </row>
    <row r="291" ht="45" customHeight="1" s="91">
      <c r="A291" s="128" t="n">
        <v>43</v>
      </c>
      <c r="B291" s="128" t="inlineStr">
        <is>
          <t>Tulane Freeman</t>
        </is>
      </c>
      <c r="C291" s="128" t="inlineStr">
        <is>
          <t>Marketing</t>
        </is>
      </c>
      <c r="D291" s="128" t="inlineStr">
        <is>
          <t>Generating insights into consumer behavior, market dynamics, and marketing strategy through innovative research methodologies.</t>
        </is>
      </c>
      <c r="E291" s="128" t="n">
        <v>4</v>
      </c>
      <c r="F291" s="128" t="n">
        <v>8</v>
      </c>
      <c r="G291" s="90" t="inlineStr">
        <is>
          <t>https://freeman.tulane.edu/faculty-research/marketing</t>
        </is>
      </c>
    </row>
    <row r="292" ht="45" customHeight="1" s="91">
      <c r="A292" s="127" t="n">
        <v>44</v>
      </c>
      <c r="B292" s="127" t="inlineStr">
        <is>
          <t>Iowa Tippie</t>
        </is>
      </c>
      <c r="C292" s="127" t="inlineStr">
        <is>
          <t>Accounting</t>
        </is>
      </c>
      <c r="D292" s="127" t="inlineStr">
        <is>
          <t>Advancing knowledge in financial reporting, auditing, taxation, and accounting information systems through rigorous research and teaching.</t>
        </is>
      </c>
      <c r="E292" s="127" t="n">
        <v>4</v>
      </c>
      <c r="F292" s="127" t="n">
        <v>7</v>
      </c>
      <c r="G292" s="90" t="inlineStr">
        <is>
          <t>https://tippie.uiowa.edu/about/accounting-department</t>
        </is>
      </c>
    </row>
    <row r="293" ht="45" customHeight="1" s="91">
      <c r="A293" s="128" t="n">
        <v>44</v>
      </c>
      <c r="B293" s="128" t="inlineStr">
        <is>
          <t>Iowa Tippie</t>
        </is>
      </c>
      <c r="C293" s="128" t="inlineStr">
        <is>
          <t>Business Analytics</t>
        </is>
      </c>
      <c r="D293" s="128" t="inlineStr">
        <is>
          <t>Exploring the intersection of technology, data analytics, and business to drive digital transformation and innovation.</t>
        </is>
      </c>
      <c r="E293" s="128" t="n">
        <v>4</v>
      </c>
      <c r="F293" s="128" t="n">
        <v>7</v>
      </c>
      <c r="G293" s="90" t="inlineStr">
        <is>
          <t>https://tippie.uiowa.edu/about/business-analytics-department</t>
        </is>
      </c>
    </row>
    <row r="294" ht="45" customHeight="1" s="91">
      <c r="A294" s="127" t="n">
        <v>44</v>
      </c>
      <c r="B294" s="127" t="inlineStr">
        <is>
          <t>Iowa Tippie</t>
        </is>
      </c>
      <c r="C294" s="127" t="inlineStr">
        <is>
          <t>Economics</t>
        </is>
      </c>
      <c r="D294" s="127" t="inlineStr">
        <is>
          <t>Applying economic theory and empirical methods to understand business environments, policy impacts, and market behavior.</t>
        </is>
      </c>
      <c r="E294" s="127" t="n">
        <v>4</v>
      </c>
      <c r="F294" s="127" t="n">
        <v>7</v>
      </c>
      <c r="G294" s="90" t="inlineStr">
        <is>
          <t>https://tippie.uiowa.edu/about/economics-department</t>
        </is>
      </c>
    </row>
    <row r="295" ht="45" customHeight="1" s="91">
      <c r="A295" s="128" t="n">
        <v>44</v>
      </c>
      <c r="B295" s="128" t="inlineStr">
        <is>
          <t>Iowa Tippie</t>
        </is>
      </c>
      <c r="C295" s="128" t="inlineStr">
        <is>
          <t>Finance</t>
        </is>
      </c>
      <c r="D295" s="128" t="inlineStr">
        <is>
          <t>Conducting cutting-edge research in financial markets, corporate finance, and asset pricing to inform practice and policy.</t>
        </is>
      </c>
      <c r="E295" s="128" t="n">
        <v>4</v>
      </c>
      <c r="F295" s="128" t="n">
        <v>8</v>
      </c>
      <c r="G295" s="90" t="inlineStr">
        <is>
          <t>https://tippie.uiowa.edu/about/finance-department</t>
        </is>
      </c>
    </row>
    <row r="296" ht="45" customHeight="1" s="91">
      <c r="A296" s="127" t="n">
        <v>44</v>
      </c>
      <c r="B296" s="127" t="inlineStr">
        <is>
          <t>Iowa Tippie</t>
        </is>
      </c>
      <c r="C296" s="127" t="inlineStr">
        <is>
          <t>Management &amp; Entrepreneurship</t>
        </is>
      </c>
      <c r="D296" s="127" t="inlineStr">
        <is>
          <t>Studying organizational dynamics, leadership, and strategic decision-making to develop effective management practices.</t>
        </is>
      </c>
      <c r="E296" s="127" t="n">
        <v>4</v>
      </c>
      <c r="F296" s="127" t="n">
        <v>7</v>
      </c>
      <c r="G296" s="90" t="inlineStr">
        <is>
          <t>https://tippie.uiowa.edu/about/management-and-entrepreneurship-department</t>
        </is>
      </c>
    </row>
    <row r="297" ht="45" customHeight="1" s="91">
      <c r="A297" s="128" t="n">
        <v>44</v>
      </c>
      <c r="B297" s="128" t="inlineStr">
        <is>
          <t>Iowa Tippie</t>
        </is>
      </c>
      <c r="C297" s="128" t="inlineStr">
        <is>
          <t>Marketing</t>
        </is>
      </c>
      <c r="D297" s="128" t="inlineStr">
        <is>
          <t>Generating insights into consumer behavior, market dynamics, and marketing strategy through innovative research methodologies.</t>
        </is>
      </c>
      <c r="E297" s="128" t="n">
        <v>4</v>
      </c>
      <c r="F297" s="128" t="n">
        <v>7</v>
      </c>
      <c r="G297" s="90" t="inlineStr">
        <is>
          <t>https://tippie.uiowa.edu/about/marketing-department</t>
        </is>
      </c>
    </row>
    <row r="298" ht="45" customHeight="1" s="91">
      <c r="A298" s="127" t="n">
        <v>45</v>
      </c>
      <c r="B298" s="127" t="inlineStr">
        <is>
          <t>GWU GWSB</t>
        </is>
      </c>
      <c r="C298" s="127" t="inlineStr">
        <is>
          <t>Accountancy</t>
        </is>
      </c>
      <c r="D298" s="127" t="inlineStr">
        <is>
          <t>Advancing knowledge in financial reporting, auditing, taxation, and accounting information systems through rigorous research and teaching.</t>
        </is>
      </c>
      <c r="E298" s="127" t="n">
        <v>4</v>
      </c>
      <c r="F298" s="127" t="n">
        <v>10</v>
      </c>
      <c r="G298" s="90" t="inlineStr">
        <is>
          <t>https://business.gwu.edu/academics/departments</t>
        </is>
      </c>
    </row>
    <row r="299" ht="45" customHeight="1" s="91">
      <c r="A299" s="128" t="n">
        <v>45</v>
      </c>
      <c r="B299" s="128" t="inlineStr">
        <is>
          <t>GWU GWSB</t>
        </is>
      </c>
      <c r="C299" s="128" t="inlineStr">
        <is>
          <t>Decision Sciences</t>
        </is>
      </c>
      <c r="D299" s="128" t="inlineStr">
        <is>
          <t>Applying economic theory and empirical methods to understand business environments, policy impacts, and market behavior.</t>
        </is>
      </c>
      <c r="E299" s="128" t="n">
        <v>4</v>
      </c>
      <c r="F299" s="128" t="n">
        <v>10</v>
      </c>
      <c r="G299" s="90" t="inlineStr">
        <is>
          <t>https://business.gwu.edu/academics/departments/decision-sciences</t>
        </is>
      </c>
    </row>
    <row r="300" ht="45" customHeight="1" s="91">
      <c r="A300" s="127" t="n">
        <v>45</v>
      </c>
      <c r="B300" s="127" t="inlineStr">
        <is>
          <t>GWU GWSB</t>
        </is>
      </c>
      <c r="C300" s="127" t="inlineStr">
        <is>
          <t>Finance</t>
        </is>
      </c>
      <c r="D300" s="127" t="inlineStr">
        <is>
          <t>Conducting cutting-edge research in financial markets, corporate finance, and asset pricing to inform practice and policy.</t>
        </is>
      </c>
      <c r="E300" s="127" t="n">
        <v>4</v>
      </c>
      <c r="F300" s="127" t="n">
        <v>13</v>
      </c>
      <c r="G300" s="90" t="inlineStr">
        <is>
          <t>https://business.gwu.edu/academics/departments</t>
        </is>
      </c>
    </row>
    <row r="301" ht="45" customHeight="1" s="91">
      <c r="A301" s="128" t="n">
        <v>45</v>
      </c>
      <c r="B301" s="128" t="inlineStr">
        <is>
          <t>GWU GWSB</t>
        </is>
      </c>
      <c r="C301" s="128" t="inlineStr">
        <is>
          <t>Information Systems &amp; Technology Management</t>
        </is>
      </c>
      <c r="D301" s="128" t="inlineStr">
        <is>
          <t>Exploring the intersection of technology, data analytics, and business to drive digital transformation and innovation.</t>
        </is>
      </c>
      <c r="E301" s="128" t="n">
        <v>4</v>
      </c>
      <c r="F301" s="128" t="n">
        <v>9</v>
      </c>
      <c r="G301" s="90" t="inlineStr">
        <is>
          <t>https://business.gwu.edu/academics/departments/information-systems-technology-management</t>
        </is>
      </c>
    </row>
    <row r="302" ht="45" customHeight="1" s="91">
      <c r="A302" s="127" t="n">
        <v>45</v>
      </c>
      <c r="B302" s="127" t="inlineStr">
        <is>
          <t>GWU GWSB</t>
        </is>
      </c>
      <c r="C302" s="127" t="inlineStr">
        <is>
          <t>International Business</t>
        </is>
      </c>
      <c r="D302" s="127" t="inlineStr">
        <is>
          <t>Contributing to the advancement of business knowledge through rigorous research and impactful teaching.</t>
        </is>
      </c>
      <c r="E302" s="127" t="n">
        <v>4</v>
      </c>
      <c r="F302" s="127" t="n">
        <v>10</v>
      </c>
      <c r="G302" s="90" t="inlineStr">
        <is>
          <t>https://business.gwu.edu/academics/departments</t>
        </is>
      </c>
    </row>
    <row r="303" ht="45" customHeight="1" s="91">
      <c r="A303" s="128" t="n">
        <v>45</v>
      </c>
      <c r="B303" s="128" t="inlineStr">
        <is>
          <t>GWU GWSB</t>
        </is>
      </c>
      <c r="C303" s="128" t="inlineStr">
        <is>
          <t>Management</t>
        </is>
      </c>
      <c r="D303" s="128" t="inlineStr">
        <is>
          <t>Studying organizational dynamics, leadership, and strategic decision-making to develop effective management practices.</t>
        </is>
      </c>
      <c r="E303" s="128" t="n">
        <v>4</v>
      </c>
      <c r="F303" s="128" t="n">
        <v>10</v>
      </c>
      <c r="G303" s="90" t="inlineStr">
        <is>
          <t>https://business.gwu.edu/academics/departments</t>
        </is>
      </c>
    </row>
    <row r="304" ht="45" customHeight="1" s="91">
      <c r="A304" s="127" t="n">
        <v>45</v>
      </c>
      <c r="B304" s="127" t="inlineStr">
        <is>
          <t>GWU GWSB</t>
        </is>
      </c>
      <c r="C304" s="127" t="inlineStr">
        <is>
          <t>Marketing</t>
        </is>
      </c>
      <c r="D304" s="127" t="inlineStr">
        <is>
          <t>Generating insights into consumer behavior, market dynamics, and marketing strategy through innovative research methodologies.</t>
        </is>
      </c>
      <c r="E304" s="127" t="n">
        <v>4</v>
      </c>
      <c r="F304" s="127" t="n">
        <v>11</v>
      </c>
      <c r="G304" s="90" t="inlineStr">
        <is>
          <t>https://business.gwu.edu/academics/departments</t>
        </is>
      </c>
    </row>
    <row r="305" ht="45" customHeight="1" s="91">
      <c r="A305" s="128" t="n">
        <v>45</v>
      </c>
      <c r="B305" s="128" t="inlineStr">
        <is>
          <t>GWU GWSB</t>
        </is>
      </c>
      <c r="C305" s="128" t="inlineStr">
        <is>
          <t>Strategic Management &amp; Public Policy</t>
        </is>
      </c>
      <c r="D305" s="128" t="inlineStr">
        <is>
          <t>Researching competitive dynamics, corporate strategy, and innovation to help firms achieve sustainable advantage.</t>
        </is>
      </c>
      <c r="E305" s="128" t="n">
        <v>4</v>
      </c>
      <c r="F305" s="128" t="n">
        <v>10</v>
      </c>
      <c r="G305" s="90" t="inlineStr">
        <is>
          <t>https://business.gwu.edu/academics/departments</t>
        </is>
      </c>
    </row>
    <row r="306" ht="45" customHeight="1" s="91">
      <c r="A306" s="127" t="n">
        <v>46</v>
      </c>
      <c r="B306" s="127" t="inlineStr">
        <is>
          <t>BYU Marriott</t>
        </is>
      </c>
      <c r="C306" s="127" t="inlineStr">
        <is>
          <t>Accountancy</t>
        </is>
      </c>
      <c r="D306" s="127" t="inlineStr">
        <is>
          <t>Advancing knowledge in financial reporting, auditing, taxation, and accounting information systems through rigorous research and teaching.</t>
        </is>
      </c>
      <c r="E306" s="127" t="n">
        <v>4</v>
      </c>
      <c r="F306" s="127" t="n">
        <v>23</v>
      </c>
      <c r="G306" s="90" t="inlineStr">
        <is>
          <t>https://marriott.byu.edu/directory/departmental/</t>
        </is>
      </c>
    </row>
    <row r="307" ht="45" customHeight="1" s="91">
      <c r="A307" s="128" t="n">
        <v>46</v>
      </c>
      <c r="B307" s="128" t="inlineStr">
        <is>
          <t>BYU Marriott</t>
        </is>
      </c>
      <c r="C307" s="128" t="inlineStr">
        <is>
          <t>Business Management</t>
        </is>
      </c>
      <c r="D307" s="128" t="inlineStr">
        <is>
          <t>Studying organizational dynamics, leadership, and strategic decision-making to develop effective management practices.</t>
        </is>
      </c>
      <c r="E307" s="128" t="n">
        <v>4</v>
      </c>
      <c r="F307" s="128" t="n">
        <v>27</v>
      </c>
      <c r="G307" s="90" t="inlineStr">
        <is>
          <t>https://marriott.byu.edu/directory/departmental/</t>
        </is>
      </c>
    </row>
    <row r="308" ht="45" customHeight="1" s="91">
      <c r="A308" s="127" t="n">
        <v>46</v>
      </c>
      <c r="B308" s="127" t="inlineStr">
        <is>
          <t>BYU Marriott</t>
        </is>
      </c>
      <c r="C308" s="127" t="inlineStr">
        <is>
          <t>Experience Design &amp; Management</t>
        </is>
      </c>
      <c r="D308" s="127" t="inlineStr">
        <is>
          <t>Studying organizational dynamics, leadership, and strategic decision-making to develop effective management practices.</t>
        </is>
      </c>
      <c r="E308" s="127" t="n">
        <v>4</v>
      </c>
      <c r="F308" s="127" t="n">
        <v>8</v>
      </c>
      <c r="G308" s="90" t="inlineStr">
        <is>
          <t>https://marriott.byu.edu/directory/departmental/</t>
        </is>
      </c>
    </row>
    <row r="309" ht="45" customHeight="1" s="91">
      <c r="A309" s="128" t="n">
        <v>46</v>
      </c>
      <c r="B309" s="128" t="inlineStr">
        <is>
          <t>BYU Marriott</t>
        </is>
      </c>
      <c r="C309" s="128" t="inlineStr">
        <is>
          <t>Finance</t>
        </is>
      </c>
      <c r="D309" s="128" t="inlineStr">
        <is>
          <t>Conducting cutting-edge research in financial markets, corporate finance, and asset pricing to inform practice and policy.</t>
        </is>
      </c>
      <c r="E309" s="128" t="n">
        <v>4</v>
      </c>
      <c r="F309" s="128" t="n">
        <v>21</v>
      </c>
      <c r="G309" s="90" t="inlineStr">
        <is>
          <t>https://marriott.byu.edu/directory/departmental/</t>
        </is>
      </c>
    </row>
    <row r="310" ht="45" customHeight="1" s="91">
      <c r="A310" s="127" t="n">
        <v>46</v>
      </c>
      <c r="B310" s="127" t="inlineStr">
        <is>
          <t>BYU Marriott</t>
        </is>
      </c>
      <c r="C310" s="127" t="inlineStr">
        <is>
          <t>Global Supply Chain Management</t>
        </is>
      </c>
      <c r="D310" s="127" t="inlineStr">
        <is>
          <t>Optimizing business processes, supply chains, and decision analytics to improve organizational efficiency and effectiveness.</t>
        </is>
      </c>
      <c r="E310" s="127" t="n">
        <v>4</v>
      </c>
      <c r="F310" s="127" t="n">
        <v>20</v>
      </c>
      <c r="G310" s="90" t="inlineStr">
        <is>
          <t>https://marriott.byu.edu/gscm/</t>
        </is>
      </c>
    </row>
    <row r="311" ht="45" customHeight="1" s="91">
      <c r="A311" s="128" t="n">
        <v>46</v>
      </c>
      <c r="B311" s="128" t="inlineStr">
        <is>
          <t>BYU Marriott</t>
        </is>
      </c>
      <c r="C311" s="128" t="inlineStr">
        <is>
          <t>Information Systems</t>
        </is>
      </c>
      <c r="D311" s="128" t="inlineStr">
        <is>
          <t>Exploring the intersection of technology, data analytics, and business to drive digital transformation and innovation.</t>
        </is>
      </c>
      <c r="E311" s="128" t="n">
        <v>4</v>
      </c>
      <c r="F311" s="128" t="n">
        <v>15</v>
      </c>
      <c r="G311" s="90" t="inlineStr">
        <is>
          <t>https://marriott.byu.edu/infosys/</t>
        </is>
      </c>
    </row>
    <row r="312" ht="45" customHeight="1" s="91">
      <c r="A312" s="127" t="n">
        <v>46</v>
      </c>
      <c r="B312" s="127" t="inlineStr">
        <is>
          <t>BYU Marriott</t>
        </is>
      </c>
      <c r="C312" s="127" t="inlineStr">
        <is>
          <t>Marketing</t>
        </is>
      </c>
      <c r="D312" s="127" t="inlineStr">
        <is>
          <t>Generating insights into consumer behavior, market dynamics, and marketing strategy through innovative research methodologies.</t>
        </is>
      </c>
      <c r="E312" s="127" t="n">
        <v>4</v>
      </c>
      <c r="F312" s="127" t="n">
        <v>7</v>
      </c>
      <c r="G312" s="90" t="inlineStr">
        <is>
          <t>https://marriott.byu.edu/directory/departmental/</t>
        </is>
      </c>
    </row>
    <row r="313" ht="45" customHeight="1" s="91">
      <c r="A313" s="128" t="n">
        <v>46</v>
      </c>
      <c r="B313" s="128" t="inlineStr">
        <is>
          <t>BYU Marriott</t>
        </is>
      </c>
      <c r="C313" s="128" t="inlineStr">
        <is>
          <t>Organizational Leadership &amp; Strategy</t>
        </is>
      </c>
      <c r="D313" s="128" t="inlineStr">
        <is>
          <t>Researching competitive dynamics, corporate strategy, and innovation to help firms achieve sustainable advantage.</t>
        </is>
      </c>
      <c r="E313" s="128" t="n">
        <v>4</v>
      </c>
      <c r="F313" s="128" t="n">
        <v>8</v>
      </c>
      <c r="G313" s="90" t="inlineStr">
        <is>
          <t>https://marriott.byu.edu/directory/departmental/</t>
        </is>
      </c>
    </row>
    <row r="314" ht="45" customHeight="1" s="91">
      <c r="A314" s="127" t="n">
        <v>47</v>
      </c>
      <c r="B314" s="127" t="inlineStr">
        <is>
          <t>Rochester Simon</t>
        </is>
      </c>
      <c r="C314" s="127" t="inlineStr">
        <is>
          <t>Accounting</t>
        </is>
      </c>
      <c r="D314" s="127" t="inlineStr">
        <is>
          <t>Advancing knowledge in financial reporting, auditing, taxation, and accounting information systems through rigorous research and teaching.</t>
        </is>
      </c>
      <c r="E314" s="127" t="n">
        <v>4</v>
      </c>
      <c r="F314" s="127" t="n">
        <v>8</v>
      </c>
      <c r="G314" s="90" t="inlineStr">
        <is>
          <t>https://simon.rochester.edu/faculty-research/</t>
        </is>
      </c>
    </row>
    <row r="315" ht="45" customHeight="1" s="91">
      <c r="A315" s="128" t="n">
        <v>47</v>
      </c>
      <c r="B315" s="128" t="inlineStr">
        <is>
          <t>Rochester Simon</t>
        </is>
      </c>
      <c r="C315" s="128" t="inlineStr">
        <is>
          <t>Economics &amp; Management</t>
        </is>
      </c>
      <c r="D315" s="128" t="inlineStr">
        <is>
          <t>Applying economic theory and empirical methods to understand business environments, policy impacts, and market behavior.</t>
        </is>
      </c>
      <c r="E315" s="128" t="n">
        <v>4</v>
      </c>
      <c r="F315" s="128" t="n">
        <v>9</v>
      </c>
      <c r="G315" s="90" t="inlineStr">
        <is>
          <t>https://simon.rochester.edu/faculty-research/</t>
        </is>
      </c>
    </row>
    <row r="316" ht="45" customHeight="1" s="91">
      <c r="A316" s="127" t="n">
        <v>47</v>
      </c>
      <c r="B316" s="127" t="inlineStr">
        <is>
          <t>Rochester Simon</t>
        </is>
      </c>
      <c r="C316" s="127" t="inlineStr">
        <is>
          <t>Finance</t>
        </is>
      </c>
      <c r="D316" s="127" t="inlineStr">
        <is>
          <t>Conducting cutting-edge research in financial markets, corporate finance, and asset pricing to inform practice and policy.</t>
        </is>
      </c>
      <c r="E316" s="127" t="n">
        <v>4</v>
      </c>
      <c r="F316" s="127" t="n">
        <v>10</v>
      </c>
      <c r="G316" s="90" t="inlineStr">
        <is>
          <t>https://simon.rochester.edu/faculty-research/</t>
        </is>
      </c>
    </row>
    <row r="317" ht="45" customHeight="1" s="91">
      <c r="A317" s="128" t="n">
        <v>47</v>
      </c>
      <c r="B317" s="128" t="inlineStr">
        <is>
          <t>Rochester Simon</t>
        </is>
      </c>
      <c r="C317" s="128" t="inlineStr">
        <is>
          <t>Marketing</t>
        </is>
      </c>
      <c r="D317" s="128" t="inlineStr">
        <is>
          <t>Generating insights into consumer behavior, market dynamics, and marketing strategy through innovative research methodologies.</t>
        </is>
      </c>
      <c r="E317" s="128" t="n">
        <v>4</v>
      </c>
      <c r="F317" s="128" t="n">
        <v>8</v>
      </c>
      <c r="G317" s="90" t="inlineStr">
        <is>
          <t>https://simon.rochester.edu/faculty-research/</t>
        </is>
      </c>
    </row>
    <row r="318" ht="45" customHeight="1" s="91">
      <c r="A318" s="127" t="n">
        <v>47</v>
      </c>
      <c r="B318" s="127" t="inlineStr">
        <is>
          <t>Rochester Simon</t>
        </is>
      </c>
      <c r="C318" s="127" t="inlineStr">
        <is>
          <t>Operations Management</t>
        </is>
      </c>
      <c r="D318" s="127" t="inlineStr">
        <is>
          <t>Optimizing business processes, supply chains, and decision analytics to improve organizational efficiency and effectiveness.</t>
        </is>
      </c>
      <c r="E318" s="127" t="n">
        <v>4</v>
      </c>
      <c r="F318" s="127" t="n">
        <v>8</v>
      </c>
      <c r="G318" s="90" t="inlineStr">
        <is>
          <t>https://simon.rochester.edu/faculty-research/academic-areas/operations-management</t>
        </is>
      </c>
    </row>
    <row r="319" ht="45" customHeight="1" s="91">
      <c r="A319" s="128" t="n">
        <v>48</v>
      </c>
      <c r="B319" s="128" t="inlineStr">
        <is>
          <t>Wake Forest SoB</t>
        </is>
      </c>
      <c r="C319" s="128" t="inlineStr">
        <is>
          <t>Accountancy</t>
        </is>
      </c>
      <c r="D319" s="128" t="inlineStr">
        <is>
          <t>Advancing knowledge in financial reporting, auditing, taxation, and accounting information systems through rigorous research and teaching.</t>
        </is>
      </c>
      <c r="E319" s="128" t="n">
        <v>4</v>
      </c>
      <c r="F319" s="128" t="n">
        <v>11</v>
      </c>
      <c r="G319" s="90" t="inlineStr">
        <is>
          <t>https://business.wfu.edu/directory/?department=accountancy</t>
        </is>
      </c>
    </row>
    <row r="320" ht="45" customHeight="1" s="91">
      <c r="A320" s="127" t="n">
        <v>48</v>
      </c>
      <c r="B320" s="127" t="inlineStr">
        <is>
          <t>Wake Forest SoB</t>
        </is>
      </c>
      <c r="C320" s="127" t="inlineStr">
        <is>
          <t>Finance &amp; Economics</t>
        </is>
      </c>
      <c r="D320" s="127" t="inlineStr">
        <is>
          <t>Conducting cutting-edge research in financial markets, corporate finance, and asset pricing to inform practice and policy.</t>
        </is>
      </c>
      <c r="E320" s="127" t="n">
        <v>4</v>
      </c>
      <c r="F320" s="127" t="n">
        <v>15</v>
      </c>
      <c r="G320" s="90" t="inlineStr">
        <is>
          <t>https://business.wfu.edu/directory/?department=finance-and-economics</t>
        </is>
      </c>
    </row>
    <row r="321" ht="45" customHeight="1" s="91">
      <c r="A321" s="128" t="n">
        <v>48</v>
      </c>
      <c r="B321" s="128" t="inlineStr">
        <is>
          <t>Wake Forest SoB</t>
        </is>
      </c>
      <c r="C321" s="128" t="inlineStr">
        <is>
          <t>Management</t>
        </is>
      </c>
      <c r="D321" s="128" t="inlineStr">
        <is>
          <t>Studying organizational dynamics, leadership, and strategic decision-making to develop effective management practices.</t>
        </is>
      </c>
      <c r="E321" s="128" t="n">
        <v>4</v>
      </c>
      <c r="F321" s="128" t="n">
        <v>12</v>
      </c>
      <c r="G321" s="90" t="inlineStr">
        <is>
          <t>https://business.wfu.edu/directory/?department=management</t>
        </is>
      </c>
    </row>
    <row r="322" ht="45" customHeight="1" s="91">
      <c r="A322" s="127" t="n">
        <v>48</v>
      </c>
      <c r="B322" s="127" t="inlineStr">
        <is>
          <t>Wake Forest SoB</t>
        </is>
      </c>
      <c r="C322" s="127" t="inlineStr">
        <is>
          <t>Analytics, Information Systems, Marketing &amp; Operations Management</t>
        </is>
      </c>
      <c r="D322" s="127" t="inlineStr">
        <is>
          <t>Generating insights into consumer behavior, market dynamics, and marketing strategy through innovative research methodologies.</t>
        </is>
      </c>
      <c r="E322" s="127" t="n">
        <v>4</v>
      </c>
      <c r="F322" s="127" t="n">
        <v>12</v>
      </c>
      <c r="G322" s="90" t="inlineStr">
        <is>
          <t>https://business.wakeforest.edu/expert-faculty-research/faculty-and-academic-centers/</t>
        </is>
      </c>
    </row>
    <row r="323" ht="45" customHeight="1" s="91">
      <c r="A323" s="128" t="n">
        <v>49</v>
      </c>
      <c r="B323" s="128" t="inlineStr">
        <is>
          <t>Temple Fox</t>
        </is>
      </c>
      <c r="C323" s="128" t="inlineStr">
        <is>
          <t>Accounting</t>
        </is>
      </c>
      <c r="D323" s="128" t="inlineStr">
        <is>
          <t>Advancing knowledge in financial reporting, auditing, taxation, and accounting information systems through rigorous research and teaching.</t>
        </is>
      </c>
      <c r="E323" s="128" t="n">
        <v>4</v>
      </c>
      <c r="F323" s="128" t="n">
        <v>8</v>
      </c>
      <c r="G323" s="90" t="inlineStr">
        <is>
          <t>https://fox.temple.edu/faculty-research/academic-areas</t>
        </is>
      </c>
    </row>
    <row r="324" ht="45" customHeight="1" s="91">
      <c r="A324" s="127" t="n">
        <v>49</v>
      </c>
      <c r="B324" s="127" t="inlineStr">
        <is>
          <t>Temple Fox</t>
        </is>
      </c>
      <c r="C324" s="127" t="inlineStr">
        <is>
          <t>Finance</t>
        </is>
      </c>
      <c r="D324" s="127" t="inlineStr">
        <is>
          <t>Conducting cutting-edge research in financial markets, corporate finance, and asset pricing to inform practice and policy.</t>
        </is>
      </c>
      <c r="E324" s="127" t="n">
        <v>4</v>
      </c>
      <c r="F324" s="127" t="n">
        <v>11</v>
      </c>
      <c r="G324" s="90" t="inlineStr">
        <is>
          <t>https://fox.temple.edu/faculty-research/academic-areas</t>
        </is>
      </c>
    </row>
    <row r="325" ht="45" customHeight="1" s="91">
      <c r="A325" s="128" t="n">
        <v>49</v>
      </c>
      <c r="B325" s="128" t="inlineStr">
        <is>
          <t>Temple Fox</t>
        </is>
      </c>
      <c r="C325" s="128" t="inlineStr">
        <is>
          <t>Human Resource Management</t>
        </is>
      </c>
      <c r="D325" s="128" t="inlineStr">
        <is>
          <t>Studying organizational dynamics, leadership, and strategic decision-making to develop effective management practices.</t>
        </is>
      </c>
      <c r="E325" s="128" t="n">
        <v>4</v>
      </c>
      <c r="F325" s="128" t="n">
        <v>9</v>
      </c>
      <c r="G325" s="90" t="inlineStr">
        <is>
          <t>https://fox.temple.edu/faculty-research/academic-areas</t>
        </is>
      </c>
    </row>
    <row r="326" ht="45" customHeight="1" s="91">
      <c r="A326" s="127" t="n">
        <v>49</v>
      </c>
      <c r="B326" s="127" t="inlineStr">
        <is>
          <t>Temple Fox</t>
        </is>
      </c>
      <c r="C326" s="127" t="inlineStr">
        <is>
          <t>Legal Studies in Business</t>
        </is>
      </c>
      <c r="D326" s="127" t="inlineStr">
        <is>
          <t>Contributing to the advancement of business knowledge through rigorous research and impactful teaching.</t>
        </is>
      </c>
      <c r="E326" s="127" t="n">
        <v>4</v>
      </c>
      <c r="F326" s="127" t="n">
        <v>8</v>
      </c>
      <c r="G326" s="90" t="inlineStr">
        <is>
          <t>https://fox.temple.edu/faculty-research/academic-areas</t>
        </is>
      </c>
    </row>
    <row r="327" ht="45" customHeight="1" s="91">
      <c r="A327" s="128" t="n">
        <v>49</v>
      </c>
      <c r="B327" s="128" t="inlineStr">
        <is>
          <t>Temple Fox</t>
        </is>
      </c>
      <c r="C327" s="128" t="inlineStr">
        <is>
          <t>Management Information Systems</t>
        </is>
      </c>
      <c r="D327" s="128" t="inlineStr">
        <is>
          <t>Exploring the intersection of technology, data analytics, and business to drive digital transformation and innovation.</t>
        </is>
      </c>
      <c r="E327" s="128" t="n">
        <v>4</v>
      </c>
      <c r="F327" s="128" t="n">
        <v>9</v>
      </c>
      <c r="G327" s="90" t="inlineStr">
        <is>
          <t>https://www.fox.temple.edu/faculty-research/academic-areas/management-information-systems</t>
        </is>
      </c>
    </row>
    <row r="328" ht="45" customHeight="1" s="91">
      <c r="A328" s="127" t="n">
        <v>49</v>
      </c>
      <c r="B328" s="127" t="inlineStr">
        <is>
          <t>Temple Fox</t>
        </is>
      </c>
      <c r="C328" s="127" t="inlineStr">
        <is>
          <t>Marketing and Supply Chain Management</t>
        </is>
      </c>
      <c r="D328" s="127" t="inlineStr">
        <is>
          <t>Generating insights into consumer behavior, market dynamics, and marketing strategy through innovative research methodologies.</t>
        </is>
      </c>
      <c r="E328" s="127" t="n">
        <v>4</v>
      </c>
      <c r="F328" s="127" t="n">
        <v>9</v>
      </c>
      <c r="G328" s="90" t="inlineStr">
        <is>
          <t>https://www.fox.temple.edu/departments/marketing-supply-chain-management/</t>
        </is>
      </c>
    </row>
    <row r="329" ht="45" customHeight="1" s="91">
      <c r="A329" s="128" t="n">
        <v>49</v>
      </c>
      <c r="B329" s="128" t="inlineStr">
        <is>
          <t>Temple Fox</t>
        </is>
      </c>
      <c r="C329" s="128" t="inlineStr">
        <is>
          <t>Risk, Insurance &amp; Healthcare Management</t>
        </is>
      </c>
      <c r="D329" s="128" t="inlineStr">
        <is>
          <t>Studying organizational dynamics, leadership, and strategic decision-making to develop effective management practices.</t>
        </is>
      </c>
      <c r="E329" s="128" t="n">
        <v>4</v>
      </c>
      <c r="F329" s="128" t="n">
        <v>9</v>
      </c>
      <c r="G329" s="90" t="inlineStr">
        <is>
          <t>https://fox.temple.edu/faculty-research/academic-areas</t>
        </is>
      </c>
    </row>
    <row r="330" ht="45" customHeight="1" s="91">
      <c r="A330" s="127" t="n">
        <v>49</v>
      </c>
      <c r="B330" s="127" t="inlineStr">
        <is>
          <t>Temple Fox</t>
        </is>
      </c>
      <c r="C330" s="127" t="inlineStr">
        <is>
          <t>Statistical Science</t>
        </is>
      </c>
      <c r="D330" s="127" t="inlineStr">
        <is>
          <t>Contributing to the advancement of business knowledge through rigorous research and impactful teaching.</t>
        </is>
      </c>
      <c r="E330" s="127" t="n">
        <v>4</v>
      </c>
      <c r="F330" s="127" t="n">
        <v>8</v>
      </c>
      <c r="G330" s="90" t="inlineStr">
        <is>
          <t>https://fox.temple.edu/faculty-research/academic-areas</t>
        </is>
      </c>
    </row>
    <row r="331" ht="45" customHeight="1" s="91">
      <c r="A331" s="128" t="n">
        <v>49</v>
      </c>
      <c r="B331" s="128" t="inlineStr">
        <is>
          <t>Temple Fox</t>
        </is>
      </c>
      <c r="C331" s="128" t="inlineStr">
        <is>
          <t>Strategic Management</t>
        </is>
      </c>
      <c r="D331" s="128" t="inlineStr">
        <is>
          <t>Researching competitive dynamics, corporate strategy, and innovation to help firms achieve sustainable advantage.</t>
        </is>
      </c>
      <c r="E331" s="128" t="n">
        <v>4</v>
      </c>
      <c r="F331" s="128" t="n">
        <v>8</v>
      </c>
      <c r="G331" s="90" t="inlineStr">
        <is>
          <t>https://fox.temple.edu/faculty-research/academic-areas</t>
        </is>
      </c>
    </row>
    <row r="332" ht="45" customHeight="1" s="91">
      <c r="A332" s="127" t="n">
        <v>50</v>
      </c>
      <c r="B332" s="127" t="inlineStr">
        <is>
          <t>Miami Herbert</t>
        </is>
      </c>
      <c r="C332" s="127" t="inlineStr">
        <is>
          <t>Accounting</t>
        </is>
      </c>
      <c r="D332" s="127" t="inlineStr">
        <is>
          <t>Advancing knowledge in financial reporting, auditing, taxation, and accounting information systems through rigorous research and teaching.</t>
        </is>
      </c>
      <c r="E332" s="127" t="n">
        <v>4</v>
      </c>
      <c r="F332" s="127" t="n">
        <v>7</v>
      </c>
      <c r="G332" s="90" t="inlineStr">
        <is>
          <t>https://herbert.miami.edu/faculty-research/academic-departments/</t>
        </is>
      </c>
    </row>
    <row r="333" ht="45" customHeight="1" s="91">
      <c r="A333" s="128" t="n">
        <v>50</v>
      </c>
      <c r="B333" s="128" t="inlineStr">
        <is>
          <t>Miami Herbert</t>
        </is>
      </c>
      <c r="C333" s="128" t="inlineStr">
        <is>
          <t>Business Law</t>
        </is>
      </c>
      <c r="D333" s="128" t="inlineStr">
        <is>
          <t>Contributing to the advancement of business knowledge through rigorous research and impactful teaching.</t>
        </is>
      </c>
      <c r="E333" s="128" t="n">
        <v>4</v>
      </c>
      <c r="F333" s="128" t="n">
        <v>7</v>
      </c>
      <c r="G333" s="90" t="inlineStr">
        <is>
          <t>https://herbert.miami.edu/faculty-research/academic-departments/</t>
        </is>
      </c>
    </row>
    <row r="334" ht="45" customHeight="1" s="91">
      <c r="A334" s="127" t="n">
        <v>50</v>
      </c>
      <c r="B334" s="127" t="inlineStr">
        <is>
          <t>Miami Herbert</t>
        </is>
      </c>
      <c r="C334" s="127" t="inlineStr">
        <is>
          <t>Business Technology</t>
        </is>
      </c>
      <c r="D334" s="127" t="inlineStr">
        <is>
          <t>Exploring the intersection of technology, data analytics, and business to drive digital transformation and innovation.</t>
        </is>
      </c>
      <c r="E334" s="127" t="n">
        <v>4</v>
      </c>
      <c r="F334" s="127" t="n">
        <v>7</v>
      </c>
      <c r="G334" s="90" t="inlineStr">
        <is>
          <t>https://www.herbert.miami.edu/faculty-research/academic-departments/business-technology/</t>
        </is>
      </c>
    </row>
    <row r="335" ht="45" customHeight="1" s="91">
      <c r="A335" s="128" t="n">
        <v>50</v>
      </c>
      <c r="B335" s="128" t="inlineStr">
        <is>
          <t>Miami Herbert</t>
        </is>
      </c>
      <c r="C335" s="128" t="inlineStr">
        <is>
          <t>Economics</t>
        </is>
      </c>
      <c r="D335" s="128" t="inlineStr">
        <is>
          <t>Applying economic theory and empirical methods to understand business environments, policy impacts, and market behavior.</t>
        </is>
      </c>
      <c r="E335" s="128" t="n">
        <v>4</v>
      </c>
      <c r="F335" s="128" t="n">
        <v>7</v>
      </c>
      <c r="G335" s="90" t="inlineStr">
        <is>
          <t>https://herbert.miami.edu/faculty-research/academic-departments/</t>
        </is>
      </c>
    </row>
    <row r="336" ht="45" customHeight="1" s="91">
      <c r="A336" s="127" t="n">
        <v>50</v>
      </c>
      <c r="B336" s="127" t="inlineStr">
        <is>
          <t>Miami Herbert</t>
        </is>
      </c>
      <c r="C336" s="127" t="inlineStr">
        <is>
          <t>Finance</t>
        </is>
      </c>
      <c r="D336" s="127" t="inlineStr">
        <is>
          <t>Conducting cutting-edge research in financial markets, corporate finance, and asset pricing to inform practice and policy.</t>
        </is>
      </c>
      <c r="E336" s="127" t="n">
        <v>4</v>
      </c>
      <c r="F336" s="127" t="n">
        <v>9</v>
      </c>
      <c r="G336" s="90" t="inlineStr">
        <is>
          <t>https://herbert.miami.edu/faculty-research/academic-departments/</t>
        </is>
      </c>
    </row>
    <row r="337" ht="45" customHeight="1" s="91">
      <c r="A337" s="128" t="n">
        <v>50</v>
      </c>
      <c r="B337" s="128" t="inlineStr">
        <is>
          <t>Miami Herbert</t>
        </is>
      </c>
      <c r="C337" s="128" t="inlineStr">
        <is>
          <t>Management</t>
        </is>
      </c>
      <c r="D337" s="128" t="inlineStr">
        <is>
          <t>Studying organizational dynamics, leadership, and strategic decision-making to develop effective management practices.</t>
        </is>
      </c>
      <c r="E337" s="128" t="n">
        <v>4</v>
      </c>
      <c r="F337" s="128" t="n">
        <v>8</v>
      </c>
      <c r="G337" s="90" t="inlineStr">
        <is>
          <t>https://herbert.miami.edu/faculty-research/academic-departments/</t>
        </is>
      </c>
    </row>
    <row r="338" ht="45" customHeight="1" s="91">
      <c r="A338" s="127" t="n">
        <v>50</v>
      </c>
      <c r="B338" s="127" t="inlineStr">
        <is>
          <t>Miami Herbert</t>
        </is>
      </c>
      <c r="C338" s="127" t="inlineStr">
        <is>
          <t>Management Science</t>
        </is>
      </c>
      <c r="D338" s="127" t="inlineStr">
        <is>
          <t>Studying organizational dynamics, leadership, and strategic decision-making to develop effective management practices.</t>
        </is>
      </c>
      <c r="E338" s="127" t="n">
        <v>4</v>
      </c>
      <c r="F338" s="127" t="n">
        <v>8</v>
      </c>
      <c r="G338" s="90" t="inlineStr">
        <is>
          <t>https://www.herbert.miami.edu/faculty-research/academic-departments/management-science/</t>
        </is>
      </c>
    </row>
    <row r="339" ht="45" customHeight="1" s="91">
      <c r="A339" s="128" t="n">
        <v>50</v>
      </c>
      <c r="B339" s="128" t="inlineStr">
        <is>
          <t>Miami Herbert</t>
        </is>
      </c>
      <c r="C339" s="128" t="inlineStr">
        <is>
          <t>Marketing</t>
        </is>
      </c>
      <c r="D339" s="128" t="inlineStr">
        <is>
          <t>Generating insights into consumer behavior, market dynamics, and marketing strategy through innovative research methodologies.</t>
        </is>
      </c>
      <c r="E339" s="128" t="n">
        <v>4</v>
      </c>
      <c r="F339" s="128" t="n">
        <v>8</v>
      </c>
      <c r="G339" s="90" t="inlineStr">
        <is>
          <t>https://herbert.miami.edu/faculty-research/academic-departments/</t>
        </is>
      </c>
    </row>
    <row r="340" ht="45" customHeight="1" s="91">
      <c r="A340" s="129" t="n"/>
      <c r="B340" s="130" t="n"/>
      <c r="C340" s="130" t="n"/>
      <c r="D340" s="131" t="n"/>
      <c r="E340" s="132">
        <f>SUM(E4:E321)</f>
        <v/>
      </c>
      <c r="F340" s="132">
        <f>SUM(F4:F321)</f>
        <v/>
      </c>
    </row>
    <row r="341" ht="45" customHeight="1" s="91">
      <c r="A341" s="129" t="n"/>
      <c r="B341" s="130" t="n"/>
      <c r="C341" s="130" t="n"/>
      <c r="D341" s="131" t="n"/>
      <c r="E341" s="129" t="n"/>
      <c r="F341" s="129" t="n"/>
    </row>
    <row r="342" ht="45" customHeight="1" s="91">
      <c r="A342" s="129" t="n"/>
      <c r="B342" s="130" t="n"/>
      <c r="C342" s="130" t="n"/>
      <c r="D342" s="131" t="n"/>
      <c r="E342" s="129" t="n"/>
      <c r="F342" s="129" t="n"/>
    </row>
    <row r="343" ht="45" customHeight="1" s="91">
      <c r="A343" s="129" t="n"/>
      <c r="B343" s="130" t="n"/>
      <c r="C343" s="130" t="n"/>
      <c r="D343" s="131" t="n"/>
      <c r="E343" s="129" t="n"/>
      <c r="F343" s="129" t="n"/>
    </row>
    <row r="344" ht="45" customHeight="1" s="91">
      <c r="A344" s="129" t="n"/>
      <c r="B344" s="130" t="n"/>
      <c r="C344" s="130" t="n"/>
      <c r="D344" s="131" t="n"/>
      <c r="E344" s="129" t="n"/>
      <c r="F344" s="129" t="n"/>
    </row>
    <row r="345" ht="45" customHeight="1" s="91">
      <c r="A345" s="129" t="n"/>
      <c r="B345" s="130" t="n"/>
      <c r="C345" s="130" t="n"/>
      <c r="D345" s="131" t="n"/>
      <c r="E345" s="129" t="n"/>
      <c r="F345" s="129" t="n"/>
    </row>
    <row r="346" ht="45" customHeight="1" s="91">
      <c r="A346" s="129" t="n"/>
      <c r="B346" s="130" t="n"/>
      <c r="C346" s="130" t="n"/>
      <c r="D346" s="131" t="n"/>
      <c r="E346" s="129" t="n"/>
      <c r="F346" s="129" t="n"/>
    </row>
    <row r="347" ht="45" customHeight="1" s="91">
      <c r="A347" s="129" t="n"/>
      <c r="B347" s="130" t="n"/>
      <c r="C347" s="130" t="n"/>
      <c r="D347" s="131" t="n"/>
      <c r="E347" s="129" t="n"/>
      <c r="F347" s="129" t="n"/>
    </row>
    <row r="348" ht="14.25" customHeight="1" s="91">
      <c r="A348" s="129" t="n"/>
      <c r="B348" s="130" t="n"/>
      <c r="C348" s="130" t="n"/>
      <c r="D348" s="131" t="n"/>
      <c r="E348" s="129" t="n"/>
      <c r="F348" s="129" t="n"/>
    </row>
    <row r="349" ht="14.25" customHeight="1" s="91">
      <c r="A349" s="129" t="n"/>
      <c r="B349" s="130" t="n"/>
      <c r="C349" s="130" t="n"/>
      <c r="D349" s="131" t="n"/>
      <c r="E349" s="129" t="n"/>
      <c r="F349" s="129" t="n"/>
    </row>
    <row r="350" ht="14.25" customHeight="1" s="91">
      <c r="A350" s="129" t="n"/>
      <c r="B350" s="130" t="n"/>
      <c r="C350" s="130" t="n"/>
      <c r="D350" s="131" t="n"/>
      <c r="E350" s="129" t="n"/>
      <c r="F350" s="129" t="n"/>
    </row>
    <row r="351" ht="14.25" customHeight="1" s="91">
      <c r="A351" s="129" t="n"/>
      <c r="B351" s="130" t="n"/>
      <c r="C351" s="130" t="n"/>
      <c r="D351" s="131" t="n"/>
      <c r="E351" s="129" t="n"/>
      <c r="F351" s="129" t="n"/>
    </row>
    <row r="352" ht="14.25" customHeight="1" s="91">
      <c r="A352" s="129" t="n"/>
      <c r="B352" s="130" t="n"/>
      <c r="C352" s="130" t="n"/>
      <c r="D352" s="131" t="n"/>
      <c r="E352" s="129" t="n"/>
      <c r="F352" s="129" t="n"/>
    </row>
    <row r="353" ht="14.25" customHeight="1" s="91">
      <c r="A353" s="129" t="n"/>
      <c r="B353" s="130" t="n"/>
      <c r="C353" s="130" t="n"/>
      <c r="D353" s="131" t="n"/>
      <c r="E353" s="129" t="n"/>
      <c r="F353" s="129" t="n"/>
    </row>
    <row r="354" ht="14.25" customHeight="1" s="91">
      <c r="A354" s="129" t="n"/>
      <c r="B354" s="130" t="n"/>
      <c r="C354" s="130" t="n"/>
      <c r="D354" s="131" t="n"/>
      <c r="E354" s="129" t="n"/>
      <c r="F354" s="129" t="n"/>
    </row>
    <row r="355" ht="14.25" customHeight="1" s="91">
      <c r="A355" s="129" t="n"/>
      <c r="B355" s="130" t="n"/>
      <c r="C355" s="130" t="n"/>
      <c r="D355" s="131" t="n"/>
      <c r="E355" s="129" t="n"/>
      <c r="F355" s="129" t="n"/>
    </row>
    <row r="356" ht="14.25" customHeight="1" s="91">
      <c r="A356" s="129" t="n"/>
      <c r="B356" s="130" t="n"/>
      <c r="C356" s="130" t="n"/>
      <c r="D356" s="131" t="n"/>
      <c r="E356" s="129" t="n"/>
      <c r="F356" s="129" t="n"/>
    </row>
    <row r="357" ht="14.25" customHeight="1" s="91">
      <c r="A357" s="129" t="n"/>
      <c r="B357" s="130" t="n"/>
      <c r="C357" s="130" t="n"/>
      <c r="D357" s="131" t="n"/>
      <c r="E357" s="129" t="n"/>
      <c r="F357" s="129" t="n"/>
    </row>
    <row r="358" ht="14.25" customHeight="1" s="91">
      <c r="A358" s="133" t="n"/>
      <c r="B358" s="134" t="n"/>
      <c r="C358" s="134" t="n"/>
      <c r="D358" s="135" t="n"/>
      <c r="E358" s="133" t="n"/>
      <c r="F358" s="133" t="n"/>
    </row>
    <row r="359" ht="14.25" customHeight="1" s="91">
      <c r="A359" s="129" t="n"/>
      <c r="B359" s="130" t="n"/>
      <c r="C359" s="130" t="n"/>
      <c r="D359" s="131" t="n"/>
      <c r="E359" s="129" t="n"/>
      <c r="F359" s="129" t="n"/>
    </row>
    <row r="360" ht="14.25" customHeight="1" s="91">
      <c r="A360" s="129" t="n"/>
      <c r="B360" s="130" t="n"/>
      <c r="C360" s="130" t="n"/>
      <c r="D360" s="131" t="n"/>
      <c r="E360" s="129" t="n"/>
      <c r="F360" s="129" t="n"/>
    </row>
    <row r="361" ht="14.25" customHeight="1" s="91">
      <c r="A361" s="129" t="n"/>
      <c r="B361" s="130" t="n"/>
      <c r="C361" s="130" t="n"/>
      <c r="D361" s="131" t="n"/>
      <c r="E361" s="129" t="n"/>
      <c r="F361" s="129" t="n"/>
    </row>
    <row r="362" ht="14.25" customHeight="1" s="91">
      <c r="A362" s="129" t="n"/>
      <c r="B362" s="130" t="n"/>
      <c r="C362" s="130" t="n"/>
      <c r="D362" s="131" t="n"/>
      <c r="E362" s="129" t="n"/>
      <c r="F362" s="129" t="n"/>
    </row>
    <row r="363" ht="14.25" customHeight="1" s="91">
      <c r="A363" s="129" t="n"/>
      <c r="B363" s="130" t="n"/>
      <c r="C363" s="130" t="n"/>
      <c r="D363" s="131" t="n"/>
      <c r="E363" s="129" t="n"/>
      <c r="F363" s="129" t="n"/>
    </row>
    <row r="364" ht="14.25" customHeight="1" s="91">
      <c r="A364" s="129" t="n"/>
      <c r="B364" s="130" t="n"/>
      <c r="C364" s="130" t="n"/>
      <c r="D364" s="131" t="n"/>
      <c r="E364" s="129" t="n"/>
      <c r="F364" s="129" t="n"/>
    </row>
    <row r="365" ht="14.25" customHeight="1" s="91">
      <c r="A365" s="129" t="n"/>
      <c r="B365" s="130" t="n"/>
      <c r="C365" s="130" t="n"/>
      <c r="D365" s="131" t="n"/>
      <c r="E365" s="129" t="n"/>
      <c r="F365" s="129" t="n"/>
    </row>
    <row r="366" ht="14.25" customHeight="1" s="91">
      <c r="A366" s="136" t="n"/>
      <c r="B366" s="136" t="n"/>
      <c r="C366" s="136" t="n"/>
      <c r="D366" s="136" t="n"/>
      <c r="E366" s="136" t="n"/>
      <c r="F366" s="136" t="n"/>
    </row>
    <row r="367" ht="14.25" customHeight="1" s="91">
      <c r="A367" s="90" t="n">
        <v>4</v>
      </c>
      <c r="B367" s="90" t="inlineStr">
        <is>
          <t>Kellogg</t>
        </is>
      </c>
      <c r="C367" s="90" t="inlineStr">
        <is>
          <t>MEDS (Analytics &amp; Decision Sciences)</t>
        </is>
      </c>
      <c r="D367" s="90" t="inlineStr">
        <is>
          <t>Analytics / Data Science</t>
        </is>
      </c>
      <c r="E367" s="90" t="n">
        <v>4</v>
      </c>
      <c r="F367" s="90" t="n">
        <v>20</v>
      </c>
      <c r="G367" s="90" t="inlineStr">
        <is>
          <t>https://www.kellogg.northwestern.edu/faculty/academics/managerial-economics-decision-sciences.aspx</t>
        </is>
      </c>
    </row>
    <row r="368" ht="14.25" customHeight="1" s="91">
      <c r="A368" s="90" t="n">
        <v>12</v>
      </c>
      <c r="B368" s="90" t="inlineStr">
        <is>
          <t>UVA Darden</t>
        </is>
      </c>
      <c r="C368" s="90" t="inlineStr">
        <is>
          <t>Data Analytics &amp; Decision Sciences (DADS)</t>
        </is>
      </c>
      <c r="D368" s="90" t="inlineStr">
        <is>
          <t>Analytics / Data Science</t>
        </is>
      </c>
      <c r="E368" s="90" t="n">
        <v>4</v>
      </c>
      <c r="F368" s="90" t="n">
        <v>10</v>
      </c>
      <c r="G368" s="90" t="inlineStr">
        <is>
          <t>https://www.darden.virginia.edu/faculty-research/academic-areas/data-analytics-decision-sciences</t>
        </is>
      </c>
    </row>
    <row r="369" ht="14.25" customHeight="1" s="91">
      <c r="A369" s="90" t="n">
        <v>22</v>
      </c>
      <c r="B369" s="90" t="inlineStr">
        <is>
          <t>Georgetown McDonough</t>
        </is>
      </c>
      <c r="C369" s="90" t="inlineStr">
        <is>
          <t>Operations &amp; Analytics (OPAN)</t>
        </is>
      </c>
      <c r="D369" s="90" t="inlineStr">
        <is>
          <t>Analytics / Data Science</t>
        </is>
      </c>
      <c r="E369" s="90" t="n">
        <v>4</v>
      </c>
      <c r="F369" s="90" t="n">
        <v>16</v>
      </c>
    </row>
    <row r="370" ht="14.25" customHeight="1" s="91">
      <c r="A370" s="90" t="n">
        <v>23</v>
      </c>
      <c r="B370" s="90" t="inlineStr">
        <is>
          <t>Indiana Kelley</t>
        </is>
      </c>
      <c r="C370" s="90" t="inlineStr">
        <is>
          <t>Operations &amp; Decision Technologies (ODT)</t>
        </is>
      </c>
      <c r="D370" s="90" t="inlineStr">
        <is>
          <t>Analytics / Data Science</t>
        </is>
      </c>
      <c r="E370" s="90" t="n">
        <v>4</v>
      </c>
      <c r="F370" s="90" t="n">
        <v>37</v>
      </c>
    </row>
    <row r="371" ht="14.25" customHeight="1" s="91">
      <c r="A371" s="90" t="n">
        <v>41</v>
      </c>
      <c r="B371" s="90" t="inlineStr">
        <is>
          <t>Pitt Katz</t>
        </is>
      </c>
      <c r="C371" s="90" t="inlineStr">
        <is>
          <t>Business Analytics &amp; Operations (BAO)</t>
        </is>
      </c>
      <c r="D371" s="90" t="inlineStr">
        <is>
          <t>Analytics / Data Science</t>
        </is>
      </c>
      <c r="E371" s="90" t="n">
        <v>4</v>
      </c>
      <c r="F371" s="90" t="n">
        <v>9</v>
      </c>
    </row>
    <row r="372" ht="14.25" customHeight="1" s="91">
      <c r="A372" s="90" t="n">
        <v>48</v>
      </c>
      <c r="B372" s="90" t="inlineStr">
        <is>
          <t>Wake Forest SoB</t>
        </is>
      </c>
      <c r="C372" s="90" t="inlineStr">
        <is>
          <t>Analytics, IS, Marketing &amp; OM (AISMOM)</t>
        </is>
      </c>
      <c r="D372" s="90" t="inlineStr">
        <is>
          <t>Analytics / Data Science</t>
        </is>
      </c>
      <c r="E372" s="90" t="n">
        <v>4</v>
      </c>
      <c r="F372" s="90" t="n">
        <v>12</v>
      </c>
    </row>
  </sheetData>
  <autoFilter ref="A3:H33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4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4.25" customHeight="1" zeroHeight="0" outlineLevelRow="0"/>
  <cols>
    <col width="6" customWidth="1" style="90" min="1" max="1"/>
    <col width="18" customWidth="1" style="90" min="2" max="2"/>
    <col width="35" customWidth="1" style="90" min="3" max="3"/>
    <col width="40" customWidth="1" style="90" min="4" max="4"/>
    <col width="13" customWidth="1" style="90" min="5" max="5"/>
    <col width="75" customWidth="1" style="90" min="6" max="6"/>
  </cols>
  <sheetData>
    <row r="1" ht="30" customHeight="1" s="91">
      <c r="A1" s="118" t="inlineStr">
        <is>
          <t>Top 50 U.S. Business Schools — Research Sub-Area Faculty Detail</t>
        </is>
      </c>
    </row>
    <row r="2" ht="24" customHeight="1" s="91">
      <c r="A2" s="126" t="n">
        <v>1</v>
      </c>
      <c r="B2" s="90" t="inlineStr">
        <is>
          <t>Wharton</t>
        </is>
      </c>
      <c r="C2" s="90" t="inlineStr">
        <is>
          <t>Accounting</t>
        </is>
      </c>
      <c r="D2" s="90" t="inlineStr">
        <is>
          <t>Financial Accounting</t>
        </is>
      </c>
      <c r="E2" s="90" t="n">
        <v>10</v>
      </c>
      <c r="F2" s="90" t="inlineStr">
        <is>
          <t>The Accounting Review; Journal of Accounting Research; Journal of Accounting &amp; Economics</t>
        </is>
      </c>
    </row>
    <row r="3" ht="21.75" customHeight="1" s="91">
      <c r="A3" s="126" t="n">
        <v>1</v>
      </c>
      <c r="B3" s="126" t="inlineStr">
        <is>
          <t>Wharton</t>
        </is>
      </c>
      <c r="C3" s="126" t="inlineStr">
        <is>
          <t>Accounting</t>
        </is>
      </c>
      <c r="D3" s="126" t="inlineStr">
        <is>
          <t>Managerial Accounting</t>
        </is>
      </c>
      <c r="E3" s="126" t="n">
        <v>7</v>
      </c>
      <c r="F3" s="126" t="inlineStr">
        <is>
          <t>Journal of Management Accounting Research; The Accounting Review</t>
        </is>
      </c>
    </row>
    <row r="4" ht="37.5" customHeight="1" s="91">
      <c r="A4" s="126" t="n">
        <v>1</v>
      </c>
      <c r="B4" s="126" t="inlineStr">
        <is>
          <t>Wharton</t>
        </is>
      </c>
      <c r="C4" s="126" t="inlineStr">
        <is>
          <t>Accounting</t>
        </is>
      </c>
      <c r="D4" s="126" t="inlineStr">
        <is>
          <t>Auditing &amp; Assurance</t>
        </is>
      </c>
      <c r="E4" s="126" t="n">
        <v>6</v>
      </c>
      <c r="F4" s="126" t="inlineStr">
        <is>
          <t>Auditing: A Journal of Practice &amp; Theory; Contemporary Accounting Research</t>
        </is>
      </c>
    </row>
    <row r="5" ht="37.5" customHeight="1" s="91">
      <c r="A5" s="126" t="n">
        <v>1</v>
      </c>
      <c r="B5" s="126" t="inlineStr">
        <is>
          <t>Wharton</t>
        </is>
      </c>
      <c r="C5" s="126" t="inlineStr">
        <is>
          <t>Accounting</t>
        </is>
      </c>
      <c r="D5" s="126" t="inlineStr">
        <is>
          <t>Tax Research</t>
        </is>
      </c>
      <c r="E5" s="126" t="n">
        <v>7</v>
      </c>
      <c r="F5" s="126" t="inlineStr">
        <is>
          <t>Journal of the American Taxation Association; National Tax Journal</t>
        </is>
      </c>
    </row>
    <row r="6" ht="37.5" customHeight="1" s="91">
      <c r="A6" s="126" t="n">
        <v>1</v>
      </c>
      <c r="B6" s="126" t="inlineStr">
        <is>
          <t>Wharton</t>
        </is>
      </c>
      <c r="C6" s="126" t="inlineStr">
        <is>
          <t>Business Economics &amp; Public Policy</t>
        </is>
      </c>
      <c r="D6" s="126" t="inlineStr">
        <is>
          <t>Industrial Organization</t>
        </is>
      </c>
      <c r="E6" s="126" t="n">
        <v>6</v>
      </c>
      <c r="F6" s="126" t="inlineStr">
        <is>
          <t>RAND Journal of Economics; Journal of Industrial Economics</t>
        </is>
      </c>
    </row>
    <row r="7" ht="37.5" customHeight="1" s="91">
      <c r="A7" s="126" t="n">
        <v>1</v>
      </c>
      <c r="B7" s="126" t="inlineStr">
        <is>
          <t>Wharton</t>
        </is>
      </c>
      <c r="C7" s="126" t="inlineStr">
        <is>
          <t>Business Economics &amp; Public Policy</t>
        </is>
      </c>
      <c r="D7" s="126" t="inlineStr">
        <is>
          <t>Public Policy &amp; Regulation</t>
        </is>
      </c>
      <c r="E7" s="126" t="n">
        <v>6</v>
      </c>
      <c r="F7" s="126" t="inlineStr">
        <is>
          <t>Journal of Public Economics; American Economic Review</t>
        </is>
      </c>
    </row>
    <row r="8" ht="37.5" customHeight="1" s="91">
      <c r="A8" s="126" t="n">
        <v>1</v>
      </c>
      <c r="B8" s="126" t="inlineStr">
        <is>
          <t>Wharton</t>
        </is>
      </c>
      <c r="C8" s="126" t="inlineStr">
        <is>
          <t>Business Economics &amp; Public Policy</t>
        </is>
      </c>
      <c r="D8" s="126" t="inlineStr">
        <is>
          <t>Health Economics</t>
        </is>
      </c>
      <c r="E8" s="126" t="n">
        <v>5</v>
      </c>
      <c r="F8" s="126" t="inlineStr">
        <is>
          <t>Journal of Health Economics; American Economic Review</t>
        </is>
      </c>
    </row>
    <row r="9" ht="37.5" customHeight="1" s="91">
      <c r="A9" s="126" t="n">
        <v>1</v>
      </c>
      <c r="B9" s="126" t="inlineStr">
        <is>
          <t>Wharton</t>
        </is>
      </c>
      <c r="C9" s="126" t="inlineStr">
        <is>
          <t>Business Economics &amp; Public Policy</t>
        </is>
      </c>
      <c r="D9" s="126" t="inlineStr">
        <is>
          <t>Labor Economics</t>
        </is>
      </c>
      <c r="E9" s="126" t="n">
        <v>5</v>
      </c>
      <c r="F9" s="126" t="inlineStr">
        <is>
          <t>Journal of Labor Economics; Quarterly Journal of Economics</t>
        </is>
      </c>
    </row>
    <row r="10" ht="37.5" customHeight="1" s="91">
      <c r="A10" s="126" t="n">
        <v>1</v>
      </c>
      <c r="B10" s="126" t="inlineStr">
        <is>
          <t>Wharton</t>
        </is>
      </c>
      <c r="C10" s="126" t="inlineStr">
        <is>
          <t>Finance</t>
        </is>
      </c>
      <c r="D10" s="126" t="inlineStr">
        <is>
          <t>Corporate Finance</t>
        </is>
      </c>
      <c r="E10" s="126" t="n">
        <v>10</v>
      </c>
      <c r="F10" s="126" t="inlineStr">
        <is>
          <t>Journal of Finance; Review of Financial Studies; Journal of Financial Economics</t>
        </is>
      </c>
    </row>
    <row r="11" ht="37.5" customHeight="1" s="91">
      <c r="A11" s="126" t="n">
        <v>1</v>
      </c>
      <c r="B11" s="126" t="inlineStr">
        <is>
          <t>Wharton</t>
        </is>
      </c>
      <c r="C11" s="126" t="inlineStr">
        <is>
          <t>Finance</t>
        </is>
      </c>
      <c r="D11" s="126" t="inlineStr">
        <is>
          <t>Asset Pricing</t>
        </is>
      </c>
      <c r="E11" s="126" t="n">
        <v>10</v>
      </c>
      <c r="F11" s="126" t="inlineStr">
        <is>
          <t>Journal of Finance; Review of Financial Studies</t>
        </is>
      </c>
    </row>
    <row r="12" ht="37.5" customHeight="1" s="91">
      <c r="A12" s="126" t="n">
        <v>1</v>
      </c>
      <c r="B12" s="126" t="inlineStr">
        <is>
          <t>Wharton</t>
        </is>
      </c>
      <c r="C12" s="126" t="inlineStr">
        <is>
          <t>Finance</t>
        </is>
      </c>
      <c r="D12" s="126" t="inlineStr">
        <is>
          <t>Financial Intermediation</t>
        </is>
      </c>
      <c r="E12" s="126" t="n">
        <v>8</v>
      </c>
      <c r="F12" s="126" t="inlineStr">
        <is>
          <t>Journal of Financial Intermediation; Journal of Financial Economics</t>
        </is>
      </c>
    </row>
    <row r="13" ht="37.5" customHeight="1" s="91">
      <c r="A13" s="126" t="n">
        <v>1</v>
      </c>
      <c r="B13" s="126" t="inlineStr">
        <is>
          <t>Wharton</t>
        </is>
      </c>
      <c r="C13" s="126" t="inlineStr">
        <is>
          <t>Finance</t>
        </is>
      </c>
      <c r="D13" s="126" t="inlineStr">
        <is>
          <t>Behavioral Finance</t>
        </is>
      </c>
      <c r="E13" s="126" t="n">
        <v>7</v>
      </c>
      <c r="F13" s="126" t="inlineStr">
        <is>
          <t>Journal of Finance; Review of Financial Studies</t>
        </is>
      </c>
    </row>
    <row r="14" ht="37.5" customHeight="1" s="91">
      <c r="A14" s="126" t="n">
        <v>1</v>
      </c>
      <c r="B14" s="126" t="inlineStr">
        <is>
          <t>Wharton</t>
        </is>
      </c>
      <c r="C14" s="126" t="inlineStr">
        <is>
          <t>Legal Studies &amp; Business Ethics</t>
        </is>
      </c>
      <c r="D14" s="126" t="inlineStr">
        <is>
          <t>Corporate Governance</t>
        </is>
      </c>
      <c r="E14" s="126" t="n">
        <v>5</v>
      </c>
      <c r="F14" s="126" t="inlineStr">
        <is>
          <t>Journal of Law &amp; Economics; Journal of Corporate Finance</t>
        </is>
      </c>
    </row>
    <row r="15" ht="37.5" customHeight="1" s="91">
      <c r="A15" s="126" t="n">
        <v>1</v>
      </c>
      <c r="B15" s="126" t="inlineStr">
        <is>
          <t>Wharton</t>
        </is>
      </c>
      <c r="C15" s="126" t="inlineStr">
        <is>
          <t>Legal Studies &amp; Business Ethics</t>
        </is>
      </c>
      <c r="D15" s="126" t="inlineStr">
        <is>
          <t>Business Ethics</t>
        </is>
      </c>
      <c r="E15" s="126" t="n">
        <v>5</v>
      </c>
      <c r="F15" s="126" t="inlineStr">
        <is>
          <t>Business Ethics Quarterly; Academy of Management Review</t>
        </is>
      </c>
    </row>
    <row r="16" ht="37.5" customHeight="1" s="91">
      <c r="A16" s="126" t="n">
        <v>1</v>
      </c>
      <c r="B16" s="126" t="inlineStr">
        <is>
          <t>Wharton</t>
        </is>
      </c>
      <c r="C16" s="126" t="inlineStr">
        <is>
          <t>Legal Studies &amp; Business Ethics</t>
        </is>
      </c>
      <c r="D16" s="126" t="inlineStr">
        <is>
          <t>Regulatory Compliance</t>
        </is>
      </c>
      <c r="E16" s="126" t="n">
        <v>4</v>
      </c>
      <c r="F16" s="126" t="inlineStr">
        <is>
          <t>Journal of Law, Economics &amp; Organization</t>
        </is>
      </c>
    </row>
    <row r="17" ht="37.5" customHeight="1" s="91">
      <c r="A17" s="126" t="n">
        <v>1</v>
      </c>
      <c r="B17" s="126" t="inlineStr">
        <is>
          <t>Wharton</t>
        </is>
      </c>
      <c r="C17" s="126" t="inlineStr">
        <is>
          <t>Legal Studies &amp; Business Ethics</t>
        </is>
      </c>
      <c r="D17" s="126" t="inlineStr">
        <is>
          <t>International Business Law</t>
        </is>
      </c>
      <c r="E17" s="126" t="n">
        <v>4</v>
      </c>
      <c r="F17" s="126" t="inlineStr">
        <is>
          <t>American Journal of International Law</t>
        </is>
      </c>
    </row>
    <row r="18" ht="37.5" customHeight="1" s="91">
      <c r="A18" s="126" t="n">
        <v>1</v>
      </c>
      <c r="B18" s="126" t="inlineStr">
        <is>
          <t>Wharton</t>
        </is>
      </c>
      <c r="C18" s="126" t="inlineStr">
        <is>
          <t>Management</t>
        </is>
      </c>
      <c r="D18" s="126" t="inlineStr">
        <is>
          <t>Organizational Behavior</t>
        </is>
      </c>
      <c r="E18" s="126" t="n">
        <v>8</v>
      </c>
      <c r="F18" s="126" t="inlineStr">
        <is>
          <t>Academy of Management Journal; Administrative Science Quarterly</t>
        </is>
      </c>
    </row>
    <row r="19" ht="37.5" customHeight="1" s="91">
      <c r="A19" s="126" t="n">
        <v>1</v>
      </c>
      <c r="B19" s="126" t="inlineStr">
        <is>
          <t>Wharton</t>
        </is>
      </c>
      <c r="C19" s="126" t="inlineStr">
        <is>
          <t>Management</t>
        </is>
      </c>
      <c r="D19" s="126" t="inlineStr">
        <is>
          <t>Strategic Management</t>
        </is>
      </c>
      <c r="E19" s="126" t="n">
        <v>7</v>
      </c>
      <c r="F19" s="126" t="inlineStr">
        <is>
          <t>Strategic Management Journal; Academy of Management Review</t>
        </is>
      </c>
    </row>
    <row r="20" ht="37.5" customHeight="1" s="91">
      <c r="A20" s="126" t="n">
        <v>1</v>
      </c>
      <c r="B20" s="126" t="inlineStr">
        <is>
          <t>Wharton</t>
        </is>
      </c>
      <c r="C20" s="126" t="inlineStr">
        <is>
          <t>Management</t>
        </is>
      </c>
      <c r="D20" s="126" t="inlineStr">
        <is>
          <t>Entrepreneurship</t>
        </is>
      </c>
      <c r="E20" s="126" t="n">
        <v>7</v>
      </c>
      <c r="F20" s="126" t="inlineStr">
        <is>
          <t>Journal of Business Venturing; Strategic Entrepreneurship Journal</t>
        </is>
      </c>
    </row>
    <row r="21" ht="37.5" customHeight="1" s="91">
      <c r="A21" s="126" t="n">
        <v>1</v>
      </c>
      <c r="B21" s="126" t="inlineStr">
        <is>
          <t>Wharton</t>
        </is>
      </c>
      <c r="C21" s="126" t="inlineStr">
        <is>
          <t>Management</t>
        </is>
      </c>
      <c r="D21" s="126" t="inlineStr">
        <is>
          <t>Human Resource Management</t>
        </is>
      </c>
      <c r="E21" s="126" t="n">
        <v>6</v>
      </c>
      <c r="F21" s="126" t="inlineStr">
        <is>
          <t>Journal of Applied Psychology; Personnel Psychology</t>
        </is>
      </c>
    </row>
    <row r="22" ht="37.5" customHeight="1" s="91">
      <c r="A22" s="126" t="n">
        <v>1</v>
      </c>
      <c r="B22" s="126" t="inlineStr">
        <is>
          <t>Wharton</t>
        </is>
      </c>
      <c r="C22" s="126" t="inlineStr">
        <is>
          <t>Marketing</t>
        </is>
      </c>
      <c r="D22" s="126" t="inlineStr">
        <is>
          <t>Consumer Behavior</t>
        </is>
      </c>
      <c r="E22" s="126" t="n">
        <v>7</v>
      </c>
      <c r="F22" s="126" t="inlineStr">
        <is>
          <t>Journal of Consumer Research; Journal of Marketing Research</t>
        </is>
      </c>
    </row>
    <row r="23" ht="37.5" customHeight="1" s="91">
      <c r="A23" s="126" t="n">
        <v>1</v>
      </c>
      <c r="B23" s="126" t="inlineStr">
        <is>
          <t>Wharton</t>
        </is>
      </c>
      <c r="C23" s="126" t="inlineStr">
        <is>
          <t>Marketing</t>
        </is>
      </c>
      <c r="D23" s="126" t="inlineStr">
        <is>
          <t>Quantitative Marketing</t>
        </is>
      </c>
      <c r="E23" s="126" t="n">
        <v>7</v>
      </c>
      <c r="F23" s="126" t="inlineStr">
        <is>
          <t>Marketing Science; Journal of Marketing Research</t>
        </is>
      </c>
    </row>
    <row r="24" ht="37.5" customHeight="1" s="91">
      <c r="A24" s="126" t="n">
        <v>1</v>
      </c>
      <c r="B24" s="126" t="inlineStr">
        <is>
          <t>Wharton</t>
        </is>
      </c>
      <c r="C24" s="126" t="inlineStr">
        <is>
          <t>Marketing</t>
        </is>
      </c>
      <c r="D24" s="126" t="inlineStr">
        <is>
          <t>Digital Marketing</t>
        </is>
      </c>
      <c r="E24" s="126" t="n">
        <v>6</v>
      </c>
      <c r="F24" s="126" t="inlineStr">
        <is>
          <t>Journal of Marketing; Marketing Science</t>
        </is>
      </c>
    </row>
    <row r="25" ht="37.5" customHeight="1" s="91">
      <c r="A25" s="126" t="n">
        <v>1</v>
      </c>
      <c r="B25" s="126" t="inlineStr">
        <is>
          <t>Wharton</t>
        </is>
      </c>
      <c r="C25" s="126" t="inlineStr">
        <is>
          <t>Marketing</t>
        </is>
      </c>
      <c r="D25" s="126" t="inlineStr">
        <is>
          <t>Brand Management</t>
        </is>
      </c>
      <c r="E25" s="126" t="n">
        <v>5</v>
      </c>
      <c r="F25" s="126" t="inlineStr">
        <is>
          <t>Journal of Marketing; Journal of Consumer Research</t>
        </is>
      </c>
    </row>
    <row r="26" ht="37.5" customHeight="1" s="91">
      <c r="A26" s="126" t="n">
        <v>1</v>
      </c>
      <c r="B26" s="126" t="inlineStr">
        <is>
          <t>Wharton</t>
        </is>
      </c>
      <c r="C26" s="126" t="inlineStr">
        <is>
          <t>Operations, Information &amp; Decisions</t>
        </is>
      </c>
      <c r="D26" s="126" t="inlineStr">
        <is>
          <t>Operations Management</t>
        </is>
      </c>
      <c r="E26" s="126" t="n">
        <v>7</v>
      </c>
      <c r="F26" s="126" t="inlineStr">
        <is>
          <t>Management Science; Manufacturing &amp; Service Operations Management</t>
        </is>
      </c>
    </row>
    <row r="27" ht="37.5" customHeight="1" s="91">
      <c r="A27" s="126" t="n">
        <v>1</v>
      </c>
      <c r="B27" s="126" t="inlineStr">
        <is>
          <t>Wharton</t>
        </is>
      </c>
      <c r="C27" s="126" t="inlineStr">
        <is>
          <t>Operations, Information &amp; Decisions</t>
        </is>
      </c>
      <c r="D27" s="126" t="inlineStr">
        <is>
          <t>Information Systems</t>
        </is>
      </c>
      <c r="E27" s="126" t="n">
        <v>6</v>
      </c>
      <c r="F27" s="126" t="inlineStr">
        <is>
          <t>Information Systems Research; MIS Quarterly</t>
        </is>
      </c>
    </row>
    <row r="28" ht="37.5" customHeight="1" s="91">
      <c r="A28" s="126" t="n">
        <v>1</v>
      </c>
      <c r="B28" s="126" t="inlineStr">
        <is>
          <t>Wharton</t>
        </is>
      </c>
      <c r="C28" s="126" t="inlineStr">
        <is>
          <t>Operations, Information &amp; Decisions</t>
        </is>
      </c>
      <c r="D28" s="126" t="inlineStr">
        <is>
          <t>Decision Sciences</t>
        </is>
      </c>
      <c r="E28" s="126" t="n">
        <v>6</v>
      </c>
      <c r="F28" s="126" t="inlineStr">
        <is>
          <t>Management Science; Operations Research</t>
        </is>
      </c>
    </row>
    <row r="29" ht="37.5" customHeight="1" s="91">
      <c r="A29" s="126" t="n">
        <v>1</v>
      </c>
      <c r="B29" s="126" t="inlineStr">
        <is>
          <t>Wharton</t>
        </is>
      </c>
      <c r="C29" s="126" t="inlineStr">
        <is>
          <t>Operations, Information &amp; Decisions</t>
        </is>
      </c>
      <c r="D29" s="126" t="inlineStr">
        <is>
          <t>Supply Chain Management</t>
        </is>
      </c>
      <c r="E29" s="126" t="n">
        <v>5</v>
      </c>
      <c r="F29" s="126" t="inlineStr">
        <is>
          <t>Manufacturing &amp; Service Operations Management; Production and Operations Management</t>
        </is>
      </c>
    </row>
    <row r="30" ht="37.5" customHeight="1" s="91">
      <c r="A30" s="126" t="n">
        <v>1</v>
      </c>
      <c r="B30" s="126" t="inlineStr">
        <is>
          <t>Wharton</t>
        </is>
      </c>
      <c r="C30" s="126" t="inlineStr">
        <is>
          <t>Real Estate</t>
        </is>
      </c>
      <c r="D30" s="126" t="inlineStr">
        <is>
          <t>Real Estate Finance</t>
        </is>
      </c>
      <c r="E30" s="126" t="n">
        <v>5</v>
      </c>
      <c r="F30" s="126" t="inlineStr">
        <is>
          <t>Real Estate Economics; Journal of Financial Economics</t>
        </is>
      </c>
    </row>
    <row r="31" ht="37.5" customHeight="1" s="91">
      <c r="A31" s="126" t="n">
        <v>1</v>
      </c>
      <c r="B31" s="126" t="inlineStr">
        <is>
          <t>Wharton</t>
        </is>
      </c>
      <c r="C31" s="126" t="inlineStr">
        <is>
          <t>Real Estate</t>
        </is>
      </c>
      <c r="D31" s="126" t="inlineStr">
        <is>
          <t>Urban Economics</t>
        </is>
      </c>
      <c r="E31" s="126" t="n">
        <v>4</v>
      </c>
      <c r="F31" s="126" t="inlineStr">
        <is>
          <t>Journal of Urban Economics; Regional Science and Urban Economics</t>
        </is>
      </c>
    </row>
    <row r="32" ht="37.5" customHeight="1" s="91">
      <c r="A32" s="126" t="n">
        <v>1</v>
      </c>
      <c r="B32" s="126" t="inlineStr">
        <is>
          <t>Wharton</t>
        </is>
      </c>
      <c r="C32" s="126" t="inlineStr">
        <is>
          <t>Real Estate</t>
        </is>
      </c>
      <c r="D32" s="126" t="inlineStr">
        <is>
          <t>Housing Markets</t>
        </is>
      </c>
      <c r="E32" s="126" t="n">
        <v>3</v>
      </c>
      <c r="F32" s="126" t="inlineStr">
        <is>
          <t>Journal of Housing Economics; Real Estate Economics</t>
        </is>
      </c>
    </row>
    <row r="33" ht="37.5" customHeight="1" s="91">
      <c r="A33" s="126" t="n">
        <v>1</v>
      </c>
      <c r="B33" s="126" t="inlineStr">
        <is>
          <t>Wharton</t>
        </is>
      </c>
      <c r="C33" s="126" t="inlineStr">
        <is>
          <t>Real Estate</t>
        </is>
      </c>
      <c r="D33" s="126" t="inlineStr">
        <is>
          <t>Commercial Real Estate</t>
        </is>
      </c>
      <c r="E33" s="126" t="n">
        <v>2</v>
      </c>
      <c r="F33" s="126" t="inlineStr">
        <is>
          <t>Journal of Real Estate Finance and Economics</t>
        </is>
      </c>
    </row>
    <row r="34" ht="37.5" customHeight="1" s="91">
      <c r="A34" s="126" t="n">
        <v>1</v>
      </c>
      <c r="B34" s="126" t="inlineStr">
        <is>
          <t>Wharton</t>
        </is>
      </c>
      <c r="C34" s="126" t="inlineStr">
        <is>
          <t>Statistics &amp; Data Science</t>
        </is>
      </c>
      <c r="D34" s="126" t="inlineStr">
        <is>
          <t>Statistical Methods</t>
        </is>
      </c>
      <c r="E34" s="126" t="n">
        <v>7</v>
      </c>
      <c r="F34" s="126" t="inlineStr">
        <is>
          <t>Annals of Statistics; Journal of the American Statistical Association</t>
        </is>
      </c>
    </row>
    <row r="35" ht="37.5" customHeight="1" s="91">
      <c r="A35" s="126" t="n">
        <v>1</v>
      </c>
      <c r="B35" s="126" t="inlineStr">
        <is>
          <t>Wharton</t>
        </is>
      </c>
      <c r="C35" s="126" t="inlineStr">
        <is>
          <t>Statistics &amp; Data Science</t>
        </is>
      </c>
      <c r="D35" s="126" t="inlineStr">
        <is>
          <t>Machine Learning</t>
        </is>
      </c>
      <c r="E35" s="126" t="n">
        <v>7</v>
      </c>
      <c r="F35" s="126" t="inlineStr">
        <is>
          <t>Journal of Machine Learning Research; Annals of Statistics</t>
        </is>
      </c>
    </row>
    <row r="36" ht="37.5" customHeight="1" s="91">
      <c r="A36" s="126" t="n">
        <v>1</v>
      </c>
      <c r="B36" s="126" t="inlineStr">
        <is>
          <t>Wharton</t>
        </is>
      </c>
      <c r="C36" s="126" t="inlineStr">
        <is>
          <t>Statistics &amp; Data Science</t>
        </is>
      </c>
      <c r="D36" s="126" t="inlineStr">
        <is>
          <t>Causal Inference</t>
        </is>
      </c>
      <c r="E36" s="126" t="n">
        <v>6</v>
      </c>
      <c r="F36" s="126" t="inlineStr">
        <is>
          <t>Biometrika; Journal of the American Statistical Association</t>
        </is>
      </c>
    </row>
    <row r="37" ht="37.5" customHeight="1" s="91">
      <c r="A37" s="126" t="n">
        <v>1</v>
      </c>
      <c r="B37" s="126" t="inlineStr">
        <is>
          <t>Wharton</t>
        </is>
      </c>
      <c r="C37" s="126" t="inlineStr">
        <is>
          <t>Statistics &amp; Data Science</t>
        </is>
      </c>
      <c r="D37" s="126" t="inlineStr">
        <is>
          <t>Bayesian Statistics</t>
        </is>
      </c>
      <c r="E37" s="126" t="n">
        <v>5</v>
      </c>
      <c r="F37" s="126" t="inlineStr">
        <is>
          <t>Bayesian Analysis; Journal of the Royal Statistical Society</t>
        </is>
      </c>
    </row>
    <row r="38" ht="37.5" customHeight="1" s="91">
      <c r="A38" s="126" t="n">
        <v>1</v>
      </c>
      <c r="B38" s="126" t="inlineStr">
        <is>
          <t>Wharton</t>
        </is>
      </c>
      <c r="C38" s="126" t="inlineStr">
        <is>
          <t>Health Care Management</t>
        </is>
      </c>
      <c r="D38" s="126" t="inlineStr">
        <is>
          <t>Health Care Delivery</t>
        </is>
      </c>
      <c r="E38" s="126" t="n">
        <v>7</v>
      </c>
      <c r="F38" s="126" t="inlineStr">
        <is>
          <t>Health Affairs; New England Journal of Medicine</t>
        </is>
      </c>
    </row>
    <row r="39" ht="37.5" customHeight="1" s="91">
      <c r="A39" s="126" t="n">
        <v>1</v>
      </c>
      <c r="B39" s="126" t="inlineStr">
        <is>
          <t>Wharton</t>
        </is>
      </c>
      <c r="C39" s="126" t="inlineStr">
        <is>
          <t>Health Care Management</t>
        </is>
      </c>
      <c r="D39" s="126" t="inlineStr">
        <is>
          <t>Health Policy</t>
        </is>
      </c>
      <c r="E39" s="126" t="n">
        <v>7</v>
      </c>
      <c r="F39" s="126" t="inlineStr">
        <is>
          <t>Journal of Health Economics; Health Affairs</t>
        </is>
      </c>
    </row>
    <row r="40" ht="37.5" customHeight="1" s="91">
      <c r="A40" s="126" t="n">
        <v>1</v>
      </c>
      <c r="B40" s="126" t="inlineStr">
        <is>
          <t>Wharton</t>
        </is>
      </c>
      <c r="C40" s="126" t="inlineStr">
        <is>
          <t>Health Care Management</t>
        </is>
      </c>
      <c r="D40" s="126" t="inlineStr">
        <is>
          <t>Medical Decision Making</t>
        </is>
      </c>
      <c r="E40" s="126" t="n">
        <v>6</v>
      </c>
      <c r="F40" s="126" t="inlineStr">
        <is>
          <t>Medical Decision Making; Health Services Research</t>
        </is>
      </c>
    </row>
    <row r="41" ht="37.5" customHeight="1" s="91">
      <c r="A41" s="126" t="n">
        <v>1</v>
      </c>
      <c r="B41" s="126" t="inlineStr">
        <is>
          <t>Wharton</t>
        </is>
      </c>
      <c r="C41" s="126" t="inlineStr">
        <is>
          <t>Health Care Management</t>
        </is>
      </c>
      <c r="D41" s="126" t="inlineStr">
        <is>
          <t>Health Care Innovation</t>
        </is>
      </c>
      <c r="E41" s="126" t="n">
        <v>5</v>
      </c>
      <c r="F41" s="126" t="inlineStr">
        <is>
          <t>Health Affairs; JAMA</t>
        </is>
      </c>
    </row>
    <row r="42" ht="37.5" customHeight="1" s="91">
      <c r="A42" s="126" t="n">
        <v>2</v>
      </c>
      <c r="B42" s="126" t="inlineStr">
        <is>
          <t>Harvard HBS</t>
        </is>
      </c>
      <c r="C42" s="126" t="inlineStr">
        <is>
          <t>Accounting &amp; Management</t>
        </is>
      </c>
      <c r="D42" s="126" t="inlineStr">
        <is>
          <t>Financial Reporting</t>
        </is>
      </c>
      <c r="E42" s="126" t="n">
        <v>5</v>
      </c>
      <c r="F42" s="126" t="inlineStr">
        <is>
          <t>The Accounting Review; Journal of Accounting Research</t>
        </is>
      </c>
    </row>
    <row r="43" ht="37.5" customHeight="1" s="91">
      <c r="A43" s="126" t="n">
        <v>2</v>
      </c>
      <c r="B43" s="126" t="inlineStr">
        <is>
          <t>Harvard HBS</t>
        </is>
      </c>
      <c r="C43" s="126" t="inlineStr">
        <is>
          <t>Accounting &amp; Management</t>
        </is>
      </c>
      <c r="D43" s="126" t="inlineStr">
        <is>
          <t>Management Control</t>
        </is>
      </c>
      <c r="E43" s="126" t="n">
        <v>5</v>
      </c>
      <c r="F43" s="126" t="inlineStr">
        <is>
          <t>Journal of Accounting &amp; Economics; Management Science</t>
        </is>
      </c>
    </row>
    <row r="44" ht="37.5" customHeight="1" s="91">
      <c r="A44" s="126" t="n">
        <v>2</v>
      </c>
      <c r="B44" s="126" t="inlineStr">
        <is>
          <t>Harvard HBS</t>
        </is>
      </c>
      <c r="C44" s="126" t="inlineStr">
        <is>
          <t>Accounting &amp; Management</t>
        </is>
      </c>
      <c r="D44" s="126" t="inlineStr">
        <is>
          <t>Capital Markets Research</t>
        </is>
      </c>
      <c r="E44" s="126" t="n">
        <v>4</v>
      </c>
      <c r="F44" s="126" t="inlineStr">
        <is>
          <t>Journal of Financial Economics; Review of Accounting Studies</t>
        </is>
      </c>
    </row>
    <row r="45" ht="37.5" customHeight="1" s="91">
      <c r="A45" s="126" t="n">
        <v>2</v>
      </c>
      <c r="B45" s="126" t="inlineStr">
        <is>
          <t>Harvard HBS</t>
        </is>
      </c>
      <c r="C45" s="126" t="inlineStr">
        <is>
          <t>Accounting &amp; Management</t>
        </is>
      </c>
      <c r="D45" s="126" t="inlineStr">
        <is>
          <t>Cost &amp; Performance Analysis</t>
        </is>
      </c>
      <c r="E45" s="126" t="n">
        <v>4</v>
      </c>
      <c r="F45" s="126" t="inlineStr">
        <is>
          <t>Journal of Management Accounting Research</t>
        </is>
      </c>
    </row>
    <row r="46" ht="37.5" customHeight="1" s="91">
      <c r="A46" s="126" t="n">
        <v>2</v>
      </c>
      <c r="B46" s="126" t="inlineStr">
        <is>
          <t>Harvard HBS</t>
        </is>
      </c>
      <c r="C46" s="126" t="inlineStr">
        <is>
          <t>Business, Government &amp; the International Economy</t>
        </is>
      </c>
      <c r="D46" s="126" t="inlineStr">
        <is>
          <t>Political Economy</t>
        </is>
      </c>
      <c r="E46" s="126" t="n">
        <v>6</v>
      </c>
      <c r="F46" s="126" t="inlineStr">
        <is>
          <t>American Economic Review; Quarterly Journal of Economics</t>
        </is>
      </c>
    </row>
    <row r="47" ht="37.5" customHeight="1" s="91">
      <c r="A47" s="126" t="n">
        <v>2</v>
      </c>
      <c r="B47" s="126" t="inlineStr">
        <is>
          <t>Harvard HBS</t>
        </is>
      </c>
      <c r="C47" s="126" t="inlineStr">
        <is>
          <t>Business, Government &amp; the International Economy</t>
        </is>
      </c>
      <c r="D47" s="126" t="inlineStr">
        <is>
          <t>International Trade</t>
        </is>
      </c>
      <c r="E47" s="126" t="n">
        <v>5</v>
      </c>
      <c r="F47" s="126" t="inlineStr">
        <is>
          <t>American Economic Review; Journal of International Economics</t>
        </is>
      </c>
    </row>
    <row r="48" ht="37.5" customHeight="1" s="91">
      <c r="A48" s="126" t="n">
        <v>2</v>
      </c>
      <c r="B48" s="126" t="inlineStr">
        <is>
          <t>Harvard HBS</t>
        </is>
      </c>
      <c r="C48" s="126" t="inlineStr">
        <is>
          <t>Business, Government &amp; the International Economy</t>
        </is>
      </c>
      <c r="D48" s="126" t="inlineStr">
        <is>
          <t>Economic Development</t>
        </is>
      </c>
      <c r="E48" s="126" t="n">
        <v>5</v>
      </c>
      <c r="F48" s="126" t="inlineStr">
        <is>
          <t>Quarterly Journal of Economics; Review of Economic Studies</t>
        </is>
      </c>
    </row>
    <row r="49" ht="37.5" customHeight="1" s="91">
      <c r="A49" s="126" t="n">
        <v>2</v>
      </c>
      <c r="B49" s="126" t="inlineStr">
        <is>
          <t>Harvard HBS</t>
        </is>
      </c>
      <c r="C49" s="126" t="inlineStr">
        <is>
          <t>Business, Government &amp; the International Economy</t>
        </is>
      </c>
      <c r="D49" s="126" t="inlineStr">
        <is>
          <t>Macroeconomic Policy</t>
        </is>
      </c>
      <c r="E49" s="126" t="n">
        <v>4</v>
      </c>
      <c r="F49" s="126" t="inlineStr">
        <is>
          <t>American Economic Review; Journal of Monetary Economics</t>
        </is>
      </c>
    </row>
    <row r="50" ht="37.5" customHeight="1" s="91">
      <c r="A50" s="126" t="n">
        <v>2</v>
      </c>
      <c r="B50" s="126" t="inlineStr">
        <is>
          <t>Harvard HBS</t>
        </is>
      </c>
      <c r="C50" s="126" t="inlineStr">
        <is>
          <t>Entrepreneurial Management</t>
        </is>
      </c>
      <c r="D50" s="126" t="inlineStr">
        <is>
          <t>Venture Finance</t>
        </is>
      </c>
      <c r="E50" s="126" t="n">
        <v>6</v>
      </c>
      <c r="F50" s="126" t="inlineStr">
        <is>
          <t>Journal of Financial Economics; Review of Financial Studies</t>
        </is>
      </c>
    </row>
    <row r="51" ht="37.5" customHeight="1" s="91">
      <c r="A51" s="126" t="n">
        <v>2</v>
      </c>
      <c r="B51" s="126" t="inlineStr">
        <is>
          <t>Harvard HBS</t>
        </is>
      </c>
      <c r="C51" s="126" t="inlineStr">
        <is>
          <t>Entrepreneurial Management</t>
        </is>
      </c>
      <c r="D51" s="126" t="inlineStr">
        <is>
          <t>New Venture Strategy</t>
        </is>
      </c>
      <c r="E51" s="126" t="n">
        <v>6</v>
      </c>
      <c r="F51" s="126" t="inlineStr">
        <is>
          <t>Strategic Management Journal; Journal of Business Venturing</t>
        </is>
      </c>
    </row>
    <row r="52" ht="37.5" customHeight="1" s="91">
      <c r="A52" s="126" t="n">
        <v>2</v>
      </c>
      <c r="B52" s="126" t="inlineStr">
        <is>
          <t>Harvard HBS</t>
        </is>
      </c>
      <c r="C52" s="126" t="inlineStr">
        <is>
          <t>Entrepreneurial Management</t>
        </is>
      </c>
      <c r="D52" s="126" t="inlineStr">
        <is>
          <t>Entrepreneurial Ecosystems</t>
        </is>
      </c>
      <c r="E52" s="126" t="n">
        <v>5</v>
      </c>
      <c r="F52" s="126" t="inlineStr">
        <is>
          <t>Research Policy; Strategic Entrepreneurship Journal</t>
        </is>
      </c>
    </row>
    <row r="53" ht="37.5" customHeight="1" s="91">
      <c r="A53" s="126" t="n">
        <v>2</v>
      </c>
      <c r="B53" s="126" t="inlineStr">
        <is>
          <t>Harvard HBS</t>
        </is>
      </c>
      <c r="C53" s="126" t="inlineStr">
        <is>
          <t>Entrepreneurial Management</t>
        </is>
      </c>
      <c r="D53" s="126" t="inlineStr">
        <is>
          <t>Social Entrepreneurship</t>
        </is>
      </c>
      <c r="E53" s="126" t="n">
        <v>5</v>
      </c>
      <c r="F53" s="126" t="inlineStr">
        <is>
          <t>Academy of Management Journal; Journal of Business Venturing</t>
        </is>
      </c>
    </row>
    <row r="54" ht="37.5" customHeight="1" s="91">
      <c r="A54" s="126" t="n">
        <v>2</v>
      </c>
      <c r="B54" s="126" t="inlineStr">
        <is>
          <t>Harvard HBS</t>
        </is>
      </c>
      <c r="C54" s="126" t="inlineStr">
        <is>
          <t>Finance</t>
        </is>
      </c>
      <c r="D54" s="126" t="inlineStr">
        <is>
          <t>Asset Pricing</t>
        </is>
      </c>
      <c r="E54" s="126" t="n">
        <v>8</v>
      </c>
      <c r="F54" s="126" t="inlineStr">
        <is>
          <t>Journal of Finance; Review of Financial Studies</t>
        </is>
      </c>
    </row>
    <row r="55" ht="37.5" customHeight="1" s="91">
      <c r="A55" s="126" t="n">
        <v>2</v>
      </c>
      <c r="B55" s="126" t="inlineStr">
        <is>
          <t>Harvard HBS</t>
        </is>
      </c>
      <c r="C55" s="126" t="inlineStr">
        <is>
          <t>Finance</t>
        </is>
      </c>
      <c r="D55" s="126" t="inlineStr">
        <is>
          <t>Corporate Finance</t>
        </is>
      </c>
      <c r="E55" s="126" t="n">
        <v>8</v>
      </c>
      <c r="F55" s="126" t="inlineStr">
        <is>
          <t>Journal of Financial Economics; Review of Financial Studies</t>
        </is>
      </c>
    </row>
    <row r="56" ht="37.5" customHeight="1" s="91">
      <c r="A56" s="126" t="n">
        <v>2</v>
      </c>
      <c r="B56" s="126" t="inlineStr">
        <is>
          <t>Harvard HBS</t>
        </is>
      </c>
      <c r="C56" s="126" t="inlineStr">
        <is>
          <t>Finance</t>
        </is>
      </c>
      <c r="D56" s="126" t="inlineStr">
        <is>
          <t>Behavioral Finance</t>
        </is>
      </c>
      <c r="E56" s="126" t="n">
        <v>6</v>
      </c>
      <c r="F56" s="126" t="inlineStr">
        <is>
          <t>Journal of Finance; Quarterly Journal of Economics</t>
        </is>
      </c>
    </row>
    <row r="57" ht="37.5" customHeight="1" s="91">
      <c r="A57" s="126" t="n">
        <v>2</v>
      </c>
      <c r="B57" s="126" t="inlineStr">
        <is>
          <t>Harvard HBS</t>
        </is>
      </c>
      <c r="C57" s="126" t="inlineStr">
        <is>
          <t>Finance</t>
        </is>
      </c>
      <c r="D57" s="126" t="inlineStr">
        <is>
          <t>International Finance</t>
        </is>
      </c>
      <c r="E57" s="126" t="n">
        <v>6</v>
      </c>
      <c r="F57" s="126" t="inlineStr">
        <is>
          <t>Journal of International Economics; Journal of Finance</t>
        </is>
      </c>
    </row>
    <row r="58" ht="37.5" customHeight="1" s="91">
      <c r="A58" s="126" t="n">
        <v>2</v>
      </c>
      <c r="B58" s="126" t="inlineStr">
        <is>
          <t>Harvard HBS</t>
        </is>
      </c>
      <c r="C58" s="126" t="inlineStr">
        <is>
          <t>General Management</t>
        </is>
      </c>
      <c r="D58" s="126" t="inlineStr">
        <is>
          <t>Leadership Development</t>
        </is>
      </c>
      <c r="E58" s="126" t="n">
        <v>5</v>
      </c>
      <c r="F58" s="126" t="inlineStr">
        <is>
          <t>Academy of Management Journal; Harvard Business Review</t>
        </is>
      </c>
    </row>
    <row r="59" ht="37.5" customHeight="1" s="91">
      <c r="A59" s="126" t="n">
        <v>2</v>
      </c>
      <c r="B59" s="126" t="inlineStr">
        <is>
          <t>Harvard HBS</t>
        </is>
      </c>
      <c r="C59" s="126" t="inlineStr">
        <is>
          <t>General Management</t>
        </is>
      </c>
      <c r="D59" s="126" t="inlineStr">
        <is>
          <t>Organizational Transformation</t>
        </is>
      </c>
      <c r="E59" s="126" t="n">
        <v>5</v>
      </c>
      <c r="F59" s="126" t="inlineStr">
        <is>
          <t>Administrative Science Quarterly; Organization Science</t>
        </is>
      </c>
    </row>
    <row r="60" ht="37.5" customHeight="1" s="91">
      <c r="A60" s="126" t="n">
        <v>2</v>
      </c>
      <c r="B60" s="126" t="inlineStr">
        <is>
          <t>Harvard HBS</t>
        </is>
      </c>
      <c r="C60" s="126" t="inlineStr">
        <is>
          <t>General Management</t>
        </is>
      </c>
      <c r="D60" s="126" t="inlineStr">
        <is>
          <t>Corporate Strategy</t>
        </is>
      </c>
      <c r="E60" s="126" t="n">
        <v>4</v>
      </c>
      <c r="F60" s="126" t="inlineStr">
        <is>
          <t>Strategic Management Journal; Academy of Management Review</t>
        </is>
      </c>
    </row>
    <row r="61" ht="37.5" customHeight="1" s="91">
      <c r="A61" s="126" t="n">
        <v>2</v>
      </c>
      <c r="B61" s="126" t="inlineStr">
        <is>
          <t>Harvard HBS</t>
        </is>
      </c>
      <c r="C61" s="126" t="inlineStr">
        <is>
          <t>General Management</t>
        </is>
      </c>
      <c r="D61" s="126" t="inlineStr">
        <is>
          <t>Board Governance</t>
        </is>
      </c>
      <c r="E61" s="126" t="n">
        <v>4</v>
      </c>
      <c r="F61" s="126" t="inlineStr">
        <is>
          <t>Journal of Corporate Finance; Academy of Management Journal</t>
        </is>
      </c>
    </row>
    <row r="62" ht="37.5" customHeight="1" s="91">
      <c r="A62" s="126" t="n">
        <v>2</v>
      </c>
      <c r="B62" s="126" t="inlineStr">
        <is>
          <t>Harvard HBS</t>
        </is>
      </c>
      <c r="C62" s="126" t="inlineStr">
        <is>
          <t>Marketing</t>
        </is>
      </c>
      <c r="D62" s="126" t="inlineStr">
        <is>
          <t>Consumer Behavior</t>
        </is>
      </c>
      <c r="E62" s="126" t="n">
        <v>6</v>
      </c>
      <c r="F62" s="126" t="inlineStr">
        <is>
          <t>Journal of Consumer Research; Journal of Marketing Research</t>
        </is>
      </c>
    </row>
    <row r="63" ht="37.5" customHeight="1" s="91">
      <c r="A63" s="126" t="n">
        <v>2</v>
      </c>
      <c r="B63" s="126" t="inlineStr">
        <is>
          <t>Harvard HBS</t>
        </is>
      </c>
      <c r="C63" s="126" t="inlineStr">
        <is>
          <t>Marketing</t>
        </is>
      </c>
      <c r="D63" s="126" t="inlineStr">
        <is>
          <t>Marketing Strategy</t>
        </is>
      </c>
      <c r="E63" s="126" t="n">
        <v>6</v>
      </c>
      <c r="F63" s="126" t="inlineStr">
        <is>
          <t>Journal of Marketing; Marketing Science</t>
        </is>
      </c>
    </row>
    <row r="64" ht="37.5" customHeight="1" s="91">
      <c r="A64" s="126" t="n">
        <v>2</v>
      </c>
      <c r="B64" s="126" t="inlineStr">
        <is>
          <t>Harvard HBS</t>
        </is>
      </c>
      <c r="C64" s="126" t="inlineStr">
        <is>
          <t>Marketing</t>
        </is>
      </c>
      <c r="D64" s="126" t="inlineStr">
        <is>
          <t>Digital &amp; Platform Marketing</t>
        </is>
      </c>
      <c r="E64" s="126" t="n">
        <v>5</v>
      </c>
      <c r="F64" s="126" t="inlineStr">
        <is>
          <t>Journal of Marketing Research; Marketing Science</t>
        </is>
      </c>
    </row>
    <row r="65" ht="37.5" customHeight="1" s="91">
      <c r="A65" s="126" t="n">
        <v>2</v>
      </c>
      <c r="B65" s="126" t="inlineStr">
        <is>
          <t>Harvard HBS</t>
        </is>
      </c>
      <c r="C65" s="126" t="inlineStr">
        <is>
          <t>Marketing</t>
        </is>
      </c>
      <c r="D65" s="126" t="inlineStr">
        <is>
          <t>Pricing &amp; Revenue Management</t>
        </is>
      </c>
      <c r="E65" s="126" t="n">
        <v>5</v>
      </c>
      <c r="F65" s="126" t="inlineStr">
        <is>
          <t>Management Science; Journal of Marketing Research</t>
        </is>
      </c>
    </row>
    <row r="66" ht="37.5" customHeight="1" s="91">
      <c r="A66" s="126" t="n">
        <v>2</v>
      </c>
      <c r="B66" s="126" t="inlineStr">
        <is>
          <t>Harvard HBS</t>
        </is>
      </c>
      <c r="C66" s="126" t="inlineStr">
        <is>
          <t>Negotiation, Organizations &amp; Markets</t>
        </is>
      </c>
      <c r="D66" s="126" t="inlineStr">
        <is>
          <t>Negotiation &amp; Conflict</t>
        </is>
      </c>
      <c r="E66" s="126" t="n">
        <v>6</v>
      </c>
      <c r="F66" s="126" t="inlineStr">
        <is>
          <t>Journal of Personality and Social Psychology; Organizational Behavior and Human Decision Processes</t>
        </is>
      </c>
    </row>
    <row r="67" ht="37.5" customHeight="1" s="91">
      <c r="A67" s="126" t="n">
        <v>2</v>
      </c>
      <c r="B67" s="126" t="inlineStr">
        <is>
          <t>Harvard HBS</t>
        </is>
      </c>
      <c r="C67" s="126" t="inlineStr">
        <is>
          <t>Negotiation, Organizations &amp; Markets</t>
        </is>
      </c>
      <c r="D67" s="126" t="inlineStr">
        <is>
          <t>Organizational Design</t>
        </is>
      </c>
      <c r="E67" s="126" t="n">
        <v>5</v>
      </c>
      <c r="F67" s="126" t="inlineStr">
        <is>
          <t>Administrative Science Quarterly; Organization Science</t>
        </is>
      </c>
    </row>
    <row r="68" ht="37.5" customHeight="1" s="91">
      <c r="A68" s="126" t="n">
        <v>2</v>
      </c>
      <c r="B68" s="126" t="inlineStr">
        <is>
          <t>Harvard HBS</t>
        </is>
      </c>
      <c r="C68" s="126" t="inlineStr">
        <is>
          <t>Negotiation, Organizations &amp; Markets</t>
        </is>
      </c>
      <c r="D68" s="126" t="inlineStr">
        <is>
          <t>Market Design</t>
        </is>
      </c>
      <c r="E68" s="126" t="n">
        <v>5</v>
      </c>
      <c r="F68" s="126" t="inlineStr">
        <is>
          <t>American Economic Review; Econometrica</t>
        </is>
      </c>
    </row>
    <row r="69" ht="37.5" customHeight="1" s="91">
      <c r="A69" s="126" t="n">
        <v>2</v>
      </c>
      <c r="B69" s="126" t="inlineStr">
        <is>
          <t>Harvard HBS</t>
        </is>
      </c>
      <c r="C69" s="126" t="inlineStr">
        <is>
          <t>Negotiation, Organizations &amp; Markets</t>
        </is>
      </c>
      <c r="D69" s="126" t="inlineStr">
        <is>
          <t>Behavioral Economics</t>
        </is>
      </c>
      <c r="E69" s="126" t="n">
        <v>4</v>
      </c>
      <c r="F69" s="126" t="inlineStr">
        <is>
          <t>Quarterly Journal of Economics; American Economic Review</t>
        </is>
      </c>
    </row>
    <row r="70" ht="37.5" customHeight="1" s="91">
      <c r="A70" s="126" t="n">
        <v>2</v>
      </c>
      <c r="B70" s="126" t="inlineStr">
        <is>
          <t>Harvard HBS</t>
        </is>
      </c>
      <c r="C70" s="126" t="inlineStr">
        <is>
          <t>Organizational Behavior</t>
        </is>
      </c>
      <c r="D70" s="126" t="inlineStr">
        <is>
          <t>Leadership &amp; Teams</t>
        </is>
      </c>
      <c r="E70" s="126" t="n">
        <v>6</v>
      </c>
      <c r="F70" s="126" t="inlineStr">
        <is>
          <t>Academy of Management Journal; Journal of Applied Psychology</t>
        </is>
      </c>
    </row>
    <row r="71" ht="37.5" customHeight="1" s="91">
      <c r="A71" s="126" t="n">
        <v>2</v>
      </c>
      <c r="B71" s="126" t="inlineStr">
        <is>
          <t>Harvard HBS</t>
        </is>
      </c>
      <c r="C71" s="126" t="inlineStr">
        <is>
          <t>Organizational Behavior</t>
        </is>
      </c>
      <c r="D71" s="126" t="inlineStr">
        <is>
          <t>Diversity &amp; Inclusion</t>
        </is>
      </c>
      <c r="E71" s="126" t="n">
        <v>6</v>
      </c>
      <c r="F71" s="126" t="inlineStr">
        <is>
          <t>Academy of Management Journal; Administrative Science Quarterly</t>
        </is>
      </c>
    </row>
    <row r="72" ht="37.5" customHeight="1" s="91">
      <c r="A72" s="126" t="n">
        <v>2</v>
      </c>
      <c r="B72" s="126" t="inlineStr">
        <is>
          <t>Harvard HBS</t>
        </is>
      </c>
      <c r="C72" s="126" t="inlineStr">
        <is>
          <t>Organizational Behavior</t>
        </is>
      </c>
      <c r="D72" s="126" t="inlineStr">
        <is>
          <t>Motivation &amp; Performance</t>
        </is>
      </c>
      <c r="E72" s="126" t="n">
        <v>5</v>
      </c>
      <c r="F72" s="126" t="inlineStr">
        <is>
          <t>Organizational Behavior and Human Decision Processes; Journal of Applied Psychology</t>
        </is>
      </c>
    </row>
    <row r="73" ht="37.5" customHeight="1" s="91">
      <c r="A73" s="126" t="n">
        <v>2</v>
      </c>
      <c r="B73" s="126" t="inlineStr">
        <is>
          <t>Harvard HBS</t>
        </is>
      </c>
      <c r="C73" s="126" t="inlineStr">
        <is>
          <t>Organizational Behavior</t>
        </is>
      </c>
      <c r="D73" s="126" t="inlineStr">
        <is>
          <t>Organizational Culture</t>
        </is>
      </c>
      <c r="E73" s="126" t="n">
        <v>5</v>
      </c>
      <c r="F73" s="126" t="inlineStr">
        <is>
          <t>Administrative Science Quarterly; Academy of Management Review</t>
        </is>
      </c>
    </row>
    <row r="74" ht="37.5" customHeight="1" s="91">
      <c r="A74" s="126" t="n">
        <v>2</v>
      </c>
      <c r="B74" s="126" t="inlineStr">
        <is>
          <t>Harvard HBS</t>
        </is>
      </c>
      <c r="C74" s="126" t="inlineStr">
        <is>
          <t>Strategy</t>
        </is>
      </c>
      <c r="D74" s="126" t="inlineStr">
        <is>
          <t>Competitive Strategy</t>
        </is>
      </c>
      <c r="E74" s="126" t="n">
        <v>6</v>
      </c>
      <c r="F74" s="126" t="inlineStr">
        <is>
          <t>Strategic Management Journal; Management Science</t>
        </is>
      </c>
    </row>
    <row r="75" ht="37.5" customHeight="1" s="91">
      <c r="A75" s="126" t="n">
        <v>2</v>
      </c>
      <c r="B75" s="126" t="inlineStr">
        <is>
          <t>Harvard HBS</t>
        </is>
      </c>
      <c r="C75" s="126" t="inlineStr">
        <is>
          <t>Strategy</t>
        </is>
      </c>
      <c r="D75" s="126" t="inlineStr">
        <is>
          <t>Industry Dynamics</t>
        </is>
      </c>
      <c r="E75" s="126" t="n">
        <v>6</v>
      </c>
      <c r="F75" s="126" t="inlineStr">
        <is>
          <t>American Economic Review; Strategic Management Journal</t>
        </is>
      </c>
    </row>
    <row r="76" ht="37.5" customHeight="1" s="91">
      <c r="A76" s="126" t="n">
        <v>2</v>
      </c>
      <c r="B76" s="126" t="inlineStr">
        <is>
          <t>Harvard HBS</t>
        </is>
      </c>
      <c r="C76" s="126" t="inlineStr">
        <is>
          <t>Strategy</t>
        </is>
      </c>
      <c r="D76" s="126" t="inlineStr">
        <is>
          <t>Innovation Strategy</t>
        </is>
      </c>
      <c r="E76" s="126" t="n">
        <v>5</v>
      </c>
      <c r="F76" s="126" t="inlineStr">
        <is>
          <t>Management Science; Research Policy</t>
        </is>
      </c>
    </row>
    <row r="77" ht="37.5" customHeight="1" s="91">
      <c r="A77" s="126" t="n">
        <v>2</v>
      </c>
      <c r="B77" s="126" t="inlineStr">
        <is>
          <t>Harvard HBS</t>
        </is>
      </c>
      <c r="C77" s="126" t="inlineStr">
        <is>
          <t>Strategy</t>
        </is>
      </c>
      <c r="D77" s="126" t="inlineStr">
        <is>
          <t>Corporate Strategy</t>
        </is>
      </c>
      <c r="E77" s="126" t="n">
        <v>5</v>
      </c>
      <c r="F77" s="126" t="inlineStr">
        <is>
          <t>Strategic Management Journal; Journal of Economics &amp; Management Strategy</t>
        </is>
      </c>
    </row>
    <row r="78" ht="37.5" customHeight="1" s="91">
      <c r="A78" s="126" t="n">
        <v>2</v>
      </c>
      <c r="B78" s="126" t="inlineStr">
        <is>
          <t>Harvard HBS</t>
        </is>
      </c>
      <c r="C78" s="126" t="inlineStr">
        <is>
          <t>Technology &amp; Operations Management</t>
        </is>
      </c>
      <c r="D78" s="126" t="inlineStr">
        <is>
          <t>Operations Strategy</t>
        </is>
      </c>
      <c r="E78" s="126" t="n">
        <v>5</v>
      </c>
      <c r="F78" s="126" t="inlineStr">
        <is>
          <t>Management Science; Manufacturing &amp; Service Operations Management</t>
        </is>
      </c>
    </row>
    <row r="79" ht="37.5" customHeight="1" s="91">
      <c r="A79" s="126" t="n">
        <v>2</v>
      </c>
      <c r="B79" s="126" t="inlineStr">
        <is>
          <t>Harvard HBS</t>
        </is>
      </c>
      <c r="C79" s="126" t="inlineStr">
        <is>
          <t>Technology &amp; Operations Management</t>
        </is>
      </c>
      <c r="D79" s="126" t="inlineStr">
        <is>
          <t>Technology &amp; Innovation Management</t>
        </is>
      </c>
      <c r="E79" s="126" t="n">
        <v>4</v>
      </c>
      <c r="F79" s="126" t="inlineStr">
        <is>
          <t>Management Science; Research Policy</t>
        </is>
      </c>
    </row>
    <row r="80" ht="37.5" customHeight="1" s="91">
      <c r="A80" s="126" t="n">
        <v>2</v>
      </c>
      <c r="B80" s="126" t="inlineStr">
        <is>
          <t>Harvard HBS</t>
        </is>
      </c>
      <c r="C80" s="126" t="inlineStr">
        <is>
          <t>Technology &amp; Operations Management</t>
        </is>
      </c>
      <c r="D80" s="126" t="inlineStr">
        <is>
          <t>Supply Chain Management</t>
        </is>
      </c>
      <c r="E80" s="126" t="n">
        <v>4</v>
      </c>
      <c r="F80" s="126" t="inlineStr">
        <is>
          <t>Manufacturing &amp; Service Operations Management; Production and Operations Management</t>
        </is>
      </c>
    </row>
    <row r="81" ht="37.5" customHeight="1" s="91">
      <c r="A81" s="126" t="n">
        <v>2</v>
      </c>
      <c r="B81" s="126" t="inlineStr">
        <is>
          <t>Harvard HBS</t>
        </is>
      </c>
      <c r="C81" s="126" t="inlineStr">
        <is>
          <t>Technology &amp; Operations Management</t>
        </is>
      </c>
      <c r="D81" s="126" t="inlineStr">
        <is>
          <t>Service Operations</t>
        </is>
      </c>
      <c r="E81" s="126" t="n">
        <v>4</v>
      </c>
      <c r="F81" s="126" t="inlineStr">
        <is>
          <t>Management Science; Manufacturing &amp; Service Operations Management</t>
        </is>
      </c>
    </row>
    <row r="82" ht="37.5" customHeight="1" s="91">
      <c r="A82" s="127" t="n">
        <v>3</v>
      </c>
      <c r="B82" s="127" t="inlineStr">
        <is>
          <t>Chicago Booth</t>
        </is>
      </c>
      <c r="C82" s="127" t="inlineStr">
        <is>
          <t>Accounting</t>
        </is>
      </c>
      <c r="D82" s="127" t="inlineStr">
        <is>
          <t>Financial Accounting</t>
        </is>
      </c>
      <c r="E82" s="127" t="n">
        <v>6</v>
      </c>
      <c r="F82" s="127" t="inlineStr">
        <is>
          <t>The Accounting Review; Journal of Accounting Research; Journal of Accounting &amp; Economics; Review of Accounting Studies</t>
        </is>
      </c>
    </row>
    <row r="83" ht="37.5" customHeight="1" s="91">
      <c r="A83" s="128" t="n">
        <v>3</v>
      </c>
      <c r="B83" s="128" t="inlineStr">
        <is>
          <t>Chicago Booth</t>
        </is>
      </c>
      <c r="C83" s="128" t="inlineStr">
        <is>
          <t>Accounting</t>
        </is>
      </c>
      <c r="D83" s="128" t="inlineStr">
        <is>
          <t>Managerial Accounting</t>
        </is>
      </c>
      <c r="E83" s="128" t="n">
        <v>5</v>
      </c>
      <c r="F83" s="128" t="inlineStr">
        <is>
          <t>The Accounting Review; Journal of Accounting Research; Journal of Accounting &amp; Economics; Review of Accounting Studies</t>
        </is>
      </c>
    </row>
    <row r="84" ht="37.5" customHeight="1" s="91">
      <c r="A84" s="127" t="n">
        <v>3</v>
      </c>
      <c r="B84" s="127" t="inlineStr">
        <is>
          <t>Chicago Booth</t>
        </is>
      </c>
      <c r="C84" s="127" t="inlineStr">
        <is>
          <t>Accounting</t>
        </is>
      </c>
      <c r="D84" s="127" t="inlineStr">
        <is>
          <t>Auditing &amp; Assurance</t>
        </is>
      </c>
      <c r="E84" s="127" t="n">
        <v>5</v>
      </c>
      <c r="F84" s="127" t="inlineStr">
        <is>
          <t>The Accounting Review; Journal of Accounting Research; Journal of Accounting &amp; Economics; Review of Accounting Studies</t>
        </is>
      </c>
    </row>
    <row r="85" ht="37.5" customHeight="1" s="91">
      <c r="A85" s="128" t="n">
        <v>3</v>
      </c>
      <c r="B85" s="128" t="inlineStr">
        <is>
          <t>Chicago Booth</t>
        </is>
      </c>
      <c r="C85" s="128" t="inlineStr">
        <is>
          <t>Accounting</t>
        </is>
      </c>
      <c r="D85" s="128" t="inlineStr">
        <is>
          <t>Tax</t>
        </is>
      </c>
      <c r="E85" s="128" t="n">
        <v>5</v>
      </c>
      <c r="F85" s="128" t="inlineStr">
        <is>
          <t>The Accounting Review; Journal of Accounting Research; Journal of Accounting &amp; Economics; Review of Accounting Studies</t>
        </is>
      </c>
    </row>
    <row r="86" ht="37.5" customHeight="1" s="91">
      <c r="A86" s="127" t="n">
        <v>3</v>
      </c>
      <c r="B86" s="127" t="inlineStr">
        <is>
          <t>Chicago Booth</t>
        </is>
      </c>
      <c r="C86" s="127" t="inlineStr">
        <is>
          <t>Applied AI</t>
        </is>
      </c>
      <c r="D86" s="127" t="inlineStr">
        <is>
          <t>Theory</t>
        </is>
      </c>
      <c r="E86" s="127" t="n">
        <v>1</v>
      </c>
      <c r="F86" s="127" t="inlineStr">
        <is>
          <t>Management Science; Academy of Management Journal; Journal of Business Research; Strategic Management Journal</t>
        </is>
      </c>
    </row>
    <row r="87" ht="37.5" customHeight="1" s="91">
      <c r="A87" s="128" t="n">
        <v>3</v>
      </c>
      <c r="B87" s="128" t="inlineStr">
        <is>
          <t>Chicago Booth</t>
        </is>
      </c>
      <c r="C87" s="128" t="inlineStr">
        <is>
          <t>Applied AI</t>
        </is>
      </c>
      <c r="D87" s="128" t="inlineStr">
        <is>
          <t>Empirical Research</t>
        </is>
      </c>
      <c r="E87" s="128" t="n">
        <v>0</v>
      </c>
      <c r="F87" s="128" t="inlineStr">
        <is>
          <t>Management Science; Academy of Management Journal; Journal of Business Research; Strategic Management Journal</t>
        </is>
      </c>
    </row>
    <row r="88" ht="37.5" customHeight="1" s="91">
      <c r="A88" s="127" t="n">
        <v>3</v>
      </c>
      <c r="B88" s="127" t="inlineStr">
        <is>
          <t>Chicago Booth</t>
        </is>
      </c>
      <c r="C88" s="127" t="inlineStr">
        <is>
          <t>Applied AI</t>
        </is>
      </c>
      <c r="D88" s="127" t="inlineStr">
        <is>
          <t>Applied Research</t>
        </is>
      </c>
      <c r="E88" s="127" t="n">
        <v>0</v>
      </c>
      <c r="F88" s="127" t="inlineStr">
        <is>
          <t>Management Science; Academy of Management Journal; Journal of Business Research; Strategic Management Journal</t>
        </is>
      </c>
    </row>
    <row r="89" ht="37.5" customHeight="1" s="91">
      <c r="A89" s="128" t="n">
        <v>3</v>
      </c>
      <c r="B89" s="128" t="inlineStr">
        <is>
          <t>Chicago Booth</t>
        </is>
      </c>
      <c r="C89" s="128" t="inlineStr">
        <is>
          <t>Applied AI</t>
        </is>
      </c>
      <c r="D89" s="128" t="inlineStr">
        <is>
          <t>Policy</t>
        </is>
      </c>
      <c r="E89" s="128" t="n">
        <v>0</v>
      </c>
      <c r="F89" s="128" t="inlineStr">
        <is>
          <t>Management Science; Academy of Management Journal; Journal of Business Research; Strategic Management Journal</t>
        </is>
      </c>
    </row>
    <row r="90" ht="37.5" customHeight="1" s="91">
      <c r="A90" s="127" t="n">
        <v>3</v>
      </c>
      <c r="B90" s="127" t="inlineStr">
        <is>
          <t>Chicago Booth</t>
        </is>
      </c>
      <c r="C90" s="127" t="inlineStr">
        <is>
          <t>Behavioral Science</t>
        </is>
      </c>
      <c r="D90" s="127" t="inlineStr">
        <is>
          <t>Organizational Behavior</t>
        </is>
      </c>
      <c r="E90" s="127" t="n">
        <v>5</v>
      </c>
      <c r="F90" s="127" t="inlineStr">
        <is>
          <t>Academy of Management Journal; Organization Science; Administrative Science Quarterly; Journal of Applied Psychology</t>
        </is>
      </c>
    </row>
    <row r="91" ht="37.5" customHeight="1" s="91">
      <c r="A91" s="128" t="n">
        <v>3</v>
      </c>
      <c r="B91" s="128" t="inlineStr">
        <is>
          <t>Chicago Booth</t>
        </is>
      </c>
      <c r="C91" s="128" t="inlineStr">
        <is>
          <t>Behavioral Science</t>
        </is>
      </c>
      <c r="D91" s="128" t="inlineStr">
        <is>
          <t>Human Resources</t>
        </is>
      </c>
      <c r="E91" s="128" t="n">
        <v>5</v>
      </c>
      <c r="F91" s="128" t="inlineStr">
        <is>
          <t>Academy of Management Journal; Organization Science; Administrative Science Quarterly; Journal of Applied Psychology</t>
        </is>
      </c>
    </row>
    <row r="92" ht="37.5" customHeight="1" s="91">
      <c r="A92" s="127" t="n">
        <v>3</v>
      </c>
      <c r="B92" s="127" t="inlineStr">
        <is>
          <t>Chicago Booth</t>
        </is>
      </c>
      <c r="C92" s="127" t="inlineStr">
        <is>
          <t>Behavioral Science</t>
        </is>
      </c>
      <c r="D92" s="127" t="inlineStr">
        <is>
          <t>Leadership &amp; Teams</t>
        </is>
      </c>
      <c r="E92" s="127" t="n">
        <v>4</v>
      </c>
      <c r="F92" s="127" t="inlineStr">
        <is>
          <t>Academy of Management Journal; Organization Science; Administrative Science Quarterly; Journal of Applied Psychology</t>
        </is>
      </c>
    </row>
    <row r="93" ht="37.5" customHeight="1" s="91">
      <c r="A93" s="128" t="n">
        <v>3</v>
      </c>
      <c r="B93" s="128" t="inlineStr">
        <is>
          <t>Chicago Booth</t>
        </is>
      </c>
      <c r="C93" s="128" t="inlineStr">
        <is>
          <t>Behavioral Science</t>
        </is>
      </c>
      <c r="D93" s="128" t="inlineStr">
        <is>
          <t>Diversity &amp; Inclusion</t>
        </is>
      </c>
      <c r="E93" s="128" t="n">
        <v>4</v>
      </c>
      <c r="F93" s="128" t="inlineStr">
        <is>
          <t>Academy of Management Journal; Organization Science; Administrative Science Quarterly; Journal of Applied Psychology</t>
        </is>
      </c>
    </row>
    <row r="94" ht="37.5" customHeight="1" s="91">
      <c r="A94" s="127" t="n">
        <v>3</v>
      </c>
      <c r="B94" s="127" t="inlineStr">
        <is>
          <t>Chicago Booth</t>
        </is>
      </c>
      <c r="C94" s="127" t="inlineStr">
        <is>
          <t>Econometrics &amp; Statistics</t>
        </is>
      </c>
      <c r="D94" s="127" t="inlineStr">
        <is>
          <t>Theory</t>
        </is>
      </c>
      <c r="E94" s="127" t="n">
        <v>4</v>
      </c>
      <c r="F94" s="127" t="inlineStr">
        <is>
          <t>Management Science; Academy of Management Journal; Journal of Business Research; Strategic Management Journal</t>
        </is>
      </c>
    </row>
    <row r="95" ht="37.5" customHeight="1" s="91">
      <c r="A95" s="128" t="n">
        <v>3</v>
      </c>
      <c r="B95" s="128" t="inlineStr">
        <is>
          <t>Chicago Booth</t>
        </is>
      </c>
      <c r="C95" s="128" t="inlineStr">
        <is>
          <t>Econometrics &amp; Statistics</t>
        </is>
      </c>
      <c r="D95" s="128" t="inlineStr">
        <is>
          <t>Empirical Research</t>
        </is>
      </c>
      <c r="E95" s="128" t="n">
        <v>4</v>
      </c>
      <c r="F95" s="128" t="inlineStr">
        <is>
          <t>Management Science; Academy of Management Journal; Journal of Business Research; Strategic Management Journal</t>
        </is>
      </c>
    </row>
    <row r="96" ht="37.5" customHeight="1" s="91">
      <c r="A96" s="127" t="n">
        <v>3</v>
      </c>
      <c r="B96" s="127" t="inlineStr">
        <is>
          <t>Chicago Booth</t>
        </is>
      </c>
      <c r="C96" s="127" t="inlineStr">
        <is>
          <t>Econometrics &amp; Statistics</t>
        </is>
      </c>
      <c r="D96" s="127" t="inlineStr">
        <is>
          <t>Applied Research</t>
        </is>
      </c>
      <c r="E96" s="127" t="n">
        <v>3</v>
      </c>
      <c r="F96" s="127" t="inlineStr">
        <is>
          <t>Management Science; Academy of Management Journal; Journal of Business Research; Strategic Management Journal</t>
        </is>
      </c>
    </row>
    <row r="97" ht="37.5" customHeight="1" s="91">
      <c r="A97" s="128" t="n">
        <v>3</v>
      </c>
      <c r="B97" s="128" t="inlineStr">
        <is>
          <t>Chicago Booth</t>
        </is>
      </c>
      <c r="C97" s="128" t="inlineStr">
        <is>
          <t>Econometrics &amp; Statistics</t>
        </is>
      </c>
      <c r="D97" s="128" t="inlineStr">
        <is>
          <t>Policy</t>
        </is>
      </c>
      <c r="E97" s="128" t="n">
        <v>3</v>
      </c>
      <c r="F97" s="128" t="inlineStr">
        <is>
          <t>Management Science; Academy of Management Journal; Journal of Business Research; Strategic Management Journal</t>
        </is>
      </c>
    </row>
    <row r="98" ht="37.5" customHeight="1" s="91">
      <c r="A98" s="127" t="n">
        <v>3</v>
      </c>
      <c r="B98" s="127" t="inlineStr">
        <is>
          <t>Chicago Booth</t>
        </is>
      </c>
      <c r="C98" s="127" t="inlineStr">
        <is>
          <t>Entrepreneurship</t>
        </is>
      </c>
      <c r="D98" s="127" t="inlineStr">
        <is>
          <t>Theory</t>
        </is>
      </c>
      <c r="E98" s="127" t="n">
        <v>1</v>
      </c>
      <c r="F98" s="127" t="inlineStr">
        <is>
          <t>Management Science; Academy of Management Journal; Journal of Business Research; Strategic Management Journal</t>
        </is>
      </c>
    </row>
    <row r="99" ht="37.5" customHeight="1" s="91">
      <c r="A99" s="128" t="n">
        <v>3</v>
      </c>
      <c r="B99" s="128" t="inlineStr">
        <is>
          <t>Chicago Booth</t>
        </is>
      </c>
      <c r="C99" s="128" t="inlineStr">
        <is>
          <t>Entrepreneurship</t>
        </is>
      </c>
      <c r="D99" s="128" t="inlineStr">
        <is>
          <t>Empirical Research</t>
        </is>
      </c>
      <c r="E99" s="128" t="n">
        <v>1</v>
      </c>
      <c r="F99" s="128" t="inlineStr">
        <is>
          <t>Management Science; Academy of Management Journal; Journal of Business Research; Strategic Management Journal</t>
        </is>
      </c>
    </row>
    <row r="100" ht="37.5" customHeight="1" s="91">
      <c r="A100" s="127" t="n">
        <v>3</v>
      </c>
      <c r="B100" s="127" t="inlineStr">
        <is>
          <t>Chicago Booth</t>
        </is>
      </c>
      <c r="C100" s="127" t="inlineStr">
        <is>
          <t>Entrepreneurship</t>
        </is>
      </c>
      <c r="D100" s="127" t="inlineStr">
        <is>
          <t>Applied Research</t>
        </is>
      </c>
      <c r="E100" s="127" t="n">
        <v>1</v>
      </c>
      <c r="F100" s="127" t="inlineStr">
        <is>
          <t>Management Science; Academy of Management Journal; Journal of Business Research; Strategic Management Journal</t>
        </is>
      </c>
    </row>
    <row r="101" ht="37.5" customHeight="1" s="91">
      <c r="A101" s="128" t="n">
        <v>3</v>
      </c>
      <c r="B101" s="128" t="inlineStr">
        <is>
          <t>Chicago Booth</t>
        </is>
      </c>
      <c r="C101" s="128" t="inlineStr">
        <is>
          <t>Entrepreneurship</t>
        </is>
      </c>
      <c r="D101" s="128" t="inlineStr">
        <is>
          <t>Policy</t>
        </is>
      </c>
      <c r="E101" s="128" t="n">
        <v>1</v>
      </c>
      <c r="F101" s="128" t="inlineStr">
        <is>
          <t>Management Science; Academy of Management Journal; Journal of Business Research; Strategic Management Journal</t>
        </is>
      </c>
    </row>
    <row r="102" ht="37.5" customHeight="1" s="91">
      <c r="A102" s="127" t="n">
        <v>3</v>
      </c>
      <c r="B102" s="127" t="inlineStr">
        <is>
          <t>Chicago Booth</t>
        </is>
      </c>
      <c r="C102" s="127" t="inlineStr">
        <is>
          <t>Finance</t>
        </is>
      </c>
      <c r="D102" s="127" t="inlineStr">
        <is>
          <t>Corporate Finance</t>
        </is>
      </c>
      <c r="E102" s="127" t="n">
        <v>7</v>
      </c>
      <c r="F102" s="127" t="inlineStr">
        <is>
          <t>Journal of Finance; Review of Financial Studies; Journal of Financial Economics; Journal of Financial &amp; Quantitative Analysis</t>
        </is>
      </c>
    </row>
    <row r="103" ht="37.5" customHeight="1" s="91">
      <c r="A103" s="128" t="n">
        <v>3</v>
      </c>
      <c r="B103" s="128" t="inlineStr">
        <is>
          <t>Chicago Booth</t>
        </is>
      </c>
      <c r="C103" s="128" t="inlineStr">
        <is>
          <t>Finance</t>
        </is>
      </c>
      <c r="D103" s="128" t="inlineStr">
        <is>
          <t>Asset Pricing</t>
        </is>
      </c>
      <c r="E103" s="128" t="n">
        <v>6</v>
      </c>
      <c r="F103" s="128" t="inlineStr">
        <is>
          <t>Journal of Finance; Review of Financial Studies; Journal of Financial Economics; Journal of Financial &amp; Quantitative Analysis</t>
        </is>
      </c>
    </row>
    <row r="104" ht="37.5" customHeight="1" s="91">
      <c r="A104" s="127" t="n">
        <v>3</v>
      </c>
      <c r="B104" s="127" t="inlineStr">
        <is>
          <t>Chicago Booth</t>
        </is>
      </c>
      <c r="C104" s="127" t="inlineStr">
        <is>
          <t>Finance</t>
        </is>
      </c>
      <c r="D104" s="127" t="inlineStr">
        <is>
          <t>Banking &amp; Financial Institutions</t>
        </is>
      </c>
      <c r="E104" s="127" t="n">
        <v>6</v>
      </c>
      <c r="F104" s="127" t="inlineStr">
        <is>
          <t>Journal of Finance; Review of Financial Studies; Journal of Financial Economics; Journal of Financial &amp; Quantitative Analysis</t>
        </is>
      </c>
    </row>
    <row r="105" ht="37.5" customHeight="1" s="91">
      <c r="A105" s="128" t="n">
        <v>3</v>
      </c>
      <c r="B105" s="128" t="inlineStr">
        <is>
          <t>Chicago Booth</t>
        </is>
      </c>
      <c r="C105" s="128" t="inlineStr">
        <is>
          <t>Finance</t>
        </is>
      </c>
      <c r="D105" s="128" t="inlineStr">
        <is>
          <t>International Finance</t>
        </is>
      </c>
      <c r="E105" s="128" t="n">
        <v>6</v>
      </c>
      <c r="F105" s="128" t="inlineStr">
        <is>
          <t>Journal of Finance; Review of Financial Studies; Journal of Financial Economics; Journal of Financial &amp; Quantitative Analysis</t>
        </is>
      </c>
    </row>
    <row r="106" ht="37.5" customHeight="1" s="91">
      <c r="A106" s="127" t="n">
        <v>3</v>
      </c>
      <c r="B106" s="127" t="inlineStr">
        <is>
          <t>Chicago Booth</t>
        </is>
      </c>
      <c r="C106" s="127" t="inlineStr">
        <is>
          <t>Macroeconomics</t>
        </is>
      </c>
      <c r="D106" s="127" t="inlineStr">
        <is>
          <t>Microeconomics</t>
        </is>
      </c>
      <c r="E106" s="127" t="n">
        <v>3</v>
      </c>
      <c r="F106" s="127" t="inlineStr">
        <is>
          <t>American Economic Review; Econometrica; Quarterly Journal of Economics; Review of Economic Studies</t>
        </is>
      </c>
    </row>
    <row r="107" ht="37.5" customHeight="1" s="91">
      <c r="A107" s="128" t="n">
        <v>3</v>
      </c>
      <c r="B107" s="128" t="inlineStr">
        <is>
          <t>Chicago Booth</t>
        </is>
      </c>
      <c r="C107" s="128" t="inlineStr">
        <is>
          <t>Macroeconomics</t>
        </is>
      </c>
      <c r="D107" s="128" t="inlineStr">
        <is>
          <t>Macroeconomics</t>
        </is>
      </c>
      <c r="E107" s="128" t="n">
        <v>3</v>
      </c>
      <c r="F107" s="128" t="inlineStr">
        <is>
          <t>American Economic Review; Econometrica; Quarterly Journal of Economics; Review of Economic Studies</t>
        </is>
      </c>
    </row>
    <row r="108" ht="37.5" customHeight="1" s="91">
      <c r="A108" s="127" t="n">
        <v>3</v>
      </c>
      <c r="B108" s="127" t="inlineStr">
        <is>
          <t>Chicago Booth</t>
        </is>
      </c>
      <c r="C108" s="127" t="inlineStr">
        <is>
          <t>Macroeconomics</t>
        </is>
      </c>
      <c r="D108" s="127" t="inlineStr">
        <is>
          <t>Applied Economics</t>
        </is>
      </c>
      <c r="E108" s="127" t="n">
        <v>3</v>
      </c>
      <c r="F108" s="127" t="inlineStr">
        <is>
          <t>American Economic Review; Econometrica; Quarterly Journal of Economics; Review of Economic Studies</t>
        </is>
      </c>
    </row>
    <row r="109" ht="37.5" customHeight="1" s="91">
      <c r="A109" s="128" t="n">
        <v>3</v>
      </c>
      <c r="B109" s="128" t="inlineStr">
        <is>
          <t>Chicago Booth</t>
        </is>
      </c>
      <c r="C109" s="128" t="inlineStr">
        <is>
          <t>Macroeconomics</t>
        </is>
      </c>
      <c r="D109" s="128" t="inlineStr">
        <is>
          <t>Industrial Organization</t>
        </is>
      </c>
      <c r="E109" s="128" t="n">
        <v>3</v>
      </c>
      <c r="F109" s="128" t="inlineStr">
        <is>
          <t>American Economic Review; Econometrica; Quarterly Journal of Economics; Review of Economic Studies</t>
        </is>
      </c>
    </row>
    <row r="110" ht="37.5" customHeight="1" s="91">
      <c r="A110" s="127" t="n">
        <v>3</v>
      </c>
      <c r="B110" s="127" t="inlineStr">
        <is>
          <t>Chicago Booth</t>
        </is>
      </c>
      <c r="C110" s="127" t="inlineStr">
        <is>
          <t>Marketing</t>
        </is>
      </c>
      <c r="D110" s="127" t="inlineStr">
        <is>
          <t>Consumer Behavior</t>
        </is>
      </c>
      <c r="E110" s="127" t="n">
        <v>5</v>
      </c>
      <c r="F110" s="127" t="inlineStr">
        <is>
          <t>Journal of Marketing Research; Journal of Marketing; Marketing Science; Journal of Consumer Research</t>
        </is>
      </c>
    </row>
    <row r="111" ht="37.5" customHeight="1" s="91">
      <c r="A111" s="128" t="n">
        <v>3</v>
      </c>
      <c r="B111" s="128" t="inlineStr">
        <is>
          <t>Chicago Booth</t>
        </is>
      </c>
      <c r="C111" s="128" t="inlineStr">
        <is>
          <t>Marketing</t>
        </is>
      </c>
      <c r="D111" s="128" t="inlineStr">
        <is>
          <t>Marketing Analytics</t>
        </is>
      </c>
      <c r="E111" s="128" t="n">
        <v>4</v>
      </c>
      <c r="F111" s="128" t="inlineStr">
        <is>
          <t>Journal of Marketing Research; Journal of Marketing; Marketing Science; Journal of Consumer Research</t>
        </is>
      </c>
    </row>
    <row r="112" ht="37.5" customHeight="1" s="91">
      <c r="A112" s="127" t="n">
        <v>3</v>
      </c>
      <c r="B112" s="127" t="inlineStr">
        <is>
          <t>Chicago Booth</t>
        </is>
      </c>
      <c r="C112" s="127" t="inlineStr">
        <is>
          <t>Marketing</t>
        </is>
      </c>
      <c r="D112" s="127" t="inlineStr">
        <is>
          <t>Digital Marketing</t>
        </is>
      </c>
      <c r="E112" s="127" t="n">
        <v>4</v>
      </c>
      <c r="F112" s="127" t="inlineStr">
        <is>
          <t>Journal of Marketing Research; Journal of Marketing; Marketing Science; Journal of Consumer Research</t>
        </is>
      </c>
    </row>
    <row r="113" ht="37.5" customHeight="1" s="91">
      <c r="A113" s="128" t="n">
        <v>3</v>
      </c>
      <c r="B113" s="128" t="inlineStr">
        <is>
          <t>Chicago Booth</t>
        </is>
      </c>
      <c r="C113" s="128" t="inlineStr">
        <is>
          <t>Marketing</t>
        </is>
      </c>
      <c r="D113" s="128" t="inlineStr">
        <is>
          <t>Brand Management</t>
        </is>
      </c>
      <c r="E113" s="128" t="n">
        <v>4</v>
      </c>
      <c r="F113" s="128" t="inlineStr">
        <is>
          <t>Journal of Marketing Research; Journal of Marketing; Marketing Science; Journal of Consumer Research</t>
        </is>
      </c>
    </row>
    <row r="114" ht="37.5" customHeight="1" s="91">
      <c r="A114" s="127" t="n">
        <v>3</v>
      </c>
      <c r="B114" s="127" t="inlineStr">
        <is>
          <t>Chicago Booth</t>
        </is>
      </c>
      <c r="C114" s="127" t="inlineStr">
        <is>
          <t>Microeconomics</t>
        </is>
      </c>
      <c r="D114" s="127" t="inlineStr">
        <is>
          <t>Microeconomics</t>
        </is>
      </c>
      <c r="E114" s="127" t="n">
        <v>5</v>
      </c>
      <c r="F114" s="127" t="inlineStr">
        <is>
          <t>American Economic Review; Econometrica; Quarterly Journal of Economics; Review of Economic Studies</t>
        </is>
      </c>
    </row>
    <row r="115" ht="37.5" customHeight="1" s="91">
      <c r="A115" s="128" t="n">
        <v>3</v>
      </c>
      <c r="B115" s="128" t="inlineStr">
        <is>
          <t>Chicago Booth</t>
        </is>
      </c>
      <c r="C115" s="128" t="inlineStr">
        <is>
          <t>Microeconomics</t>
        </is>
      </c>
      <c r="D115" s="128" t="inlineStr">
        <is>
          <t>Macroeconomics</t>
        </is>
      </c>
      <c r="E115" s="128" t="n">
        <v>5</v>
      </c>
      <c r="F115" s="128" t="inlineStr">
        <is>
          <t>American Economic Review; Econometrica; Quarterly Journal of Economics; Review of Economic Studies</t>
        </is>
      </c>
    </row>
    <row r="116" ht="37.5" customHeight="1" s="91">
      <c r="A116" s="127" t="n">
        <v>3</v>
      </c>
      <c r="B116" s="127" t="inlineStr">
        <is>
          <t>Chicago Booth</t>
        </is>
      </c>
      <c r="C116" s="127" t="inlineStr">
        <is>
          <t>Microeconomics</t>
        </is>
      </c>
      <c r="D116" s="127" t="inlineStr">
        <is>
          <t>Applied Economics</t>
        </is>
      </c>
      <c r="E116" s="127" t="n">
        <v>5</v>
      </c>
      <c r="F116" s="127" t="inlineStr">
        <is>
          <t>American Economic Review; Econometrica; Quarterly Journal of Economics; Review of Economic Studies</t>
        </is>
      </c>
    </row>
    <row r="117" ht="37.5" customHeight="1" s="91">
      <c r="A117" s="128" t="n">
        <v>3</v>
      </c>
      <c r="B117" s="128" t="inlineStr">
        <is>
          <t>Chicago Booth</t>
        </is>
      </c>
      <c r="C117" s="128" t="inlineStr">
        <is>
          <t>Microeconomics</t>
        </is>
      </c>
      <c r="D117" s="128" t="inlineStr">
        <is>
          <t>Industrial Organization</t>
        </is>
      </c>
      <c r="E117" s="128" t="n">
        <v>5</v>
      </c>
      <c r="F117" s="128" t="inlineStr">
        <is>
          <t>American Economic Review; Econometrica; Quarterly Journal of Economics; Review of Economic Studies</t>
        </is>
      </c>
    </row>
    <row r="118" ht="37.5" customHeight="1" s="91">
      <c r="A118" s="127" t="n">
        <v>3</v>
      </c>
      <c r="B118" s="127" t="inlineStr">
        <is>
          <t>Chicago Booth</t>
        </is>
      </c>
      <c r="C118" s="127" t="inlineStr">
        <is>
          <t>Operations Management</t>
        </is>
      </c>
      <c r="D118" s="127" t="inlineStr">
        <is>
          <t>Supply Chain Management</t>
        </is>
      </c>
      <c r="E118" s="127" t="n">
        <v>3</v>
      </c>
      <c r="F118" s="127" t="inlineStr">
        <is>
          <t>Management Science; Operations Research; Manufacturing &amp; Service Operations Management; Production &amp; Operations Management</t>
        </is>
      </c>
    </row>
    <row r="119" ht="37.5" customHeight="1" s="91">
      <c r="A119" s="128" t="n">
        <v>3</v>
      </c>
      <c r="B119" s="128" t="inlineStr">
        <is>
          <t>Chicago Booth</t>
        </is>
      </c>
      <c r="C119" s="128" t="inlineStr">
        <is>
          <t>Operations Management</t>
        </is>
      </c>
      <c r="D119" s="128" t="inlineStr">
        <is>
          <t>Operations Research</t>
        </is>
      </c>
      <c r="E119" s="128" t="n">
        <v>3</v>
      </c>
      <c r="F119" s="128" t="inlineStr">
        <is>
          <t>Management Science; Operations Research; Manufacturing &amp; Service Operations Management; Production &amp; Operations Management</t>
        </is>
      </c>
    </row>
    <row r="120" ht="37.5" customHeight="1" s="91">
      <c r="A120" s="127" t="n">
        <v>3</v>
      </c>
      <c r="B120" s="127" t="inlineStr">
        <is>
          <t>Chicago Booth</t>
        </is>
      </c>
      <c r="C120" s="127" t="inlineStr">
        <is>
          <t>Operations Management</t>
        </is>
      </c>
      <c r="D120" s="127" t="inlineStr">
        <is>
          <t>Process Optimization</t>
        </is>
      </c>
      <c r="E120" s="127" t="n">
        <v>3</v>
      </c>
      <c r="F120" s="127" t="inlineStr">
        <is>
          <t>Management Science; Operations Research; Manufacturing &amp; Service Operations Management; Production &amp; Operations Management</t>
        </is>
      </c>
    </row>
    <row r="121" ht="37.5" customHeight="1" s="91">
      <c r="A121" s="128" t="n">
        <v>3</v>
      </c>
      <c r="B121" s="128" t="inlineStr">
        <is>
          <t>Chicago Booth</t>
        </is>
      </c>
      <c r="C121" s="128" t="inlineStr">
        <is>
          <t>Operations Management</t>
        </is>
      </c>
      <c r="D121" s="128" t="inlineStr">
        <is>
          <t>Analytics</t>
        </is>
      </c>
      <c r="E121" s="128" t="n">
        <v>3</v>
      </c>
      <c r="F121" s="128" t="inlineStr">
        <is>
          <t>Management Science; Operations Research; Manufacturing &amp; Service Operations Management; Production &amp; Operations Management</t>
        </is>
      </c>
    </row>
    <row r="122" ht="37.5" customHeight="1" s="91">
      <c r="A122" s="127" t="n">
        <v>3</v>
      </c>
      <c r="B122" s="127" t="inlineStr">
        <is>
          <t>Chicago Booth</t>
        </is>
      </c>
      <c r="C122" s="127" t="inlineStr">
        <is>
          <t>Strategy &amp; Leadership</t>
        </is>
      </c>
      <c r="D122" s="127" t="inlineStr">
        <is>
          <t>Competitive Strategy</t>
        </is>
      </c>
      <c r="E122" s="127" t="n">
        <v>0</v>
      </c>
      <c r="F122" s="127" t="inlineStr">
        <is>
          <t>Strategic Management Journal; Academy of Management Review; Organization Science; Journal of Economics &amp; Management Strategy</t>
        </is>
      </c>
    </row>
    <row r="123" ht="37.5" customHeight="1" s="91">
      <c r="A123" s="128" t="n">
        <v>3</v>
      </c>
      <c r="B123" s="128" t="inlineStr">
        <is>
          <t>Chicago Booth</t>
        </is>
      </c>
      <c r="C123" s="128" t="inlineStr">
        <is>
          <t>Strategy &amp; Leadership</t>
        </is>
      </c>
      <c r="D123" s="128" t="inlineStr">
        <is>
          <t>Corporate Strategy</t>
        </is>
      </c>
      <c r="E123" s="128" t="n">
        <v>0</v>
      </c>
      <c r="F123" s="128" t="inlineStr">
        <is>
          <t>Strategic Management Journal; Academy of Management Review; Organization Science; Journal of Economics &amp; Management Strategy</t>
        </is>
      </c>
    </row>
    <row r="124" ht="37.5" customHeight="1" s="91">
      <c r="A124" s="127" t="n">
        <v>3</v>
      </c>
      <c r="B124" s="127" t="inlineStr">
        <is>
          <t>Chicago Booth</t>
        </is>
      </c>
      <c r="C124" s="127" t="inlineStr">
        <is>
          <t>Strategy &amp; Leadership</t>
        </is>
      </c>
      <c r="D124" s="127" t="inlineStr">
        <is>
          <t>Innovation</t>
        </is>
      </c>
      <c r="E124" s="127" t="n">
        <v>0</v>
      </c>
      <c r="F124" s="127" t="inlineStr">
        <is>
          <t>Strategic Management Journal; Academy of Management Review; Organization Science; Journal of Economics &amp; Management Strategy</t>
        </is>
      </c>
    </row>
    <row r="125" ht="37.5" customHeight="1" s="91">
      <c r="A125" s="128" t="n">
        <v>3</v>
      </c>
      <c r="B125" s="128" t="inlineStr">
        <is>
          <t>Chicago Booth</t>
        </is>
      </c>
      <c r="C125" s="128" t="inlineStr">
        <is>
          <t>Strategy &amp; Leadership</t>
        </is>
      </c>
      <c r="D125" s="128" t="inlineStr">
        <is>
          <t>Strategic Management</t>
        </is>
      </c>
      <c r="E125" s="128" t="n">
        <v>0</v>
      </c>
      <c r="F125" s="128" t="inlineStr">
        <is>
          <t>Strategic Management Journal; Academy of Management Review; Organization Science; Journal of Economics &amp; Management Strategy</t>
        </is>
      </c>
    </row>
    <row r="126" ht="37.5" customHeight="1" s="91">
      <c r="A126" s="127" t="n">
        <v>4</v>
      </c>
      <c r="B126" s="127" t="inlineStr">
        <is>
          <t>Kellogg</t>
        </is>
      </c>
      <c r="C126" s="127" t="inlineStr">
        <is>
          <t>Accounting Information &amp; Management</t>
        </is>
      </c>
      <c r="D126" s="127" t="inlineStr">
        <is>
          <t>Financial Accounting</t>
        </is>
      </c>
      <c r="E126" s="127" t="n">
        <v>3</v>
      </c>
      <c r="F126" s="127" t="inlineStr">
        <is>
          <t>The Accounting Review; Journal of Accounting Research; Journal of Accounting &amp; Economics; Review of Accounting Studies</t>
        </is>
      </c>
    </row>
    <row r="127" ht="37.5" customHeight="1" s="91">
      <c r="A127" s="128" t="n">
        <v>4</v>
      </c>
      <c r="B127" s="128" t="inlineStr">
        <is>
          <t>Kellogg</t>
        </is>
      </c>
      <c r="C127" s="128" t="inlineStr">
        <is>
          <t>Accounting Information &amp; Management</t>
        </is>
      </c>
      <c r="D127" s="128" t="inlineStr">
        <is>
          <t>Managerial Accounting</t>
        </is>
      </c>
      <c r="E127" s="128" t="n">
        <v>3</v>
      </c>
      <c r="F127" s="128" t="inlineStr">
        <is>
          <t>The Accounting Review; Journal of Accounting Research; Journal of Accounting &amp; Economics; Review of Accounting Studies</t>
        </is>
      </c>
    </row>
    <row r="128" ht="37.5" customHeight="1" s="91">
      <c r="A128" s="127" t="n">
        <v>4</v>
      </c>
      <c r="B128" s="127" t="inlineStr">
        <is>
          <t>Kellogg</t>
        </is>
      </c>
      <c r="C128" s="127" t="inlineStr">
        <is>
          <t>Accounting Information &amp; Management</t>
        </is>
      </c>
      <c r="D128" s="127" t="inlineStr">
        <is>
          <t>Auditing &amp; Assurance</t>
        </is>
      </c>
      <c r="E128" s="127" t="n">
        <v>2</v>
      </c>
      <c r="F128" s="127" t="inlineStr">
        <is>
          <t>The Accounting Review; Journal of Accounting Research; Journal of Accounting &amp; Economics; Review of Accounting Studies</t>
        </is>
      </c>
    </row>
    <row r="129" ht="37.5" customHeight="1" s="91">
      <c r="A129" s="128" t="n">
        <v>4</v>
      </c>
      <c r="B129" s="128" t="inlineStr">
        <is>
          <t>Kellogg</t>
        </is>
      </c>
      <c r="C129" s="128" t="inlineStr">
        <is>
          <t>Accounting Information &amp; Management</t>
        </is>
      </c>
      <c r="D129" s="128" t="inlineStr">
        <is>
          <t>Tax</t>
        </is>
      </c>
      <c r="E129" s="128" t="n">
        <v>2</v>
      </c>
      <c r="F129" s="128" t="inlineStr">
        <is>
          <t>The Accounting Review; Journal of Accounting Research; Journal of Accounting &amp; Economics; Review of Accounting Studies</t>
        </is>
      </c>
    </row>
    <row r="130" ht="37.5" customHeight="1" s="91">
      <c r="A130" s="127" t="n">
        <v>4</v>
      </c>
      <c r="B130" s="127" t="inlineStr">
        <is>
          <t>Kellogg</t>
        </is>
      </c>
      <c r="C130" s="127" t="inlineStr">
        <is>
          <t>Finance</t>
        </is>
      </c>
      <c r="D130" s="127" t="inlineStr">
        <is>
          <t>Corporate Finance</t>
        </is>
      </c>
      <c r="E130" s="127" t="n">
        <v>7</v>
      </c>
      <c r="F130" s="127" t="inlineStr">
        <is>
          <t>Journal of Finance; Review of Financial Studies; Journal of Financial Economics; Journal of Financial &amp; Quantitative Analysis</t>
        </is>
      </c>
    </row>
    <row r="131" ht="37.5" customHeight="1" s="91">
      <c r="A131" s="128" t="n">
        <v>4</v>
      </c>
      <c r="B131" s="128" t="inlineStr">
        <is>
          <t>Kellogg</t>
        </is>
      </c>
      <c r="C131" s="128" t="inlineStr">
        <is>
          <t>Finance</t>
        </is>
      </c>
      <c r="D131" s="128" t="inlineStr">
        <is>
          <t>Asset Pricing</t>
        </is>
      </c>
      <c r="E131" s="128" t="n">
        <v>7</v>
      </c>
      <c r="F131" s="128" t="inlineStr">
        <is>
          <t>Journal of Finance; Review of Financial Studies; Journal of Financial Economics; Journal of Financial &amp; Quantitative Analysis</t>
        </is>
      </c>
    </row>
    <row r="132" ht="37.5" customHeight="1" s="91">
      <c r="A132" s="127" t="n">
        <v>4</v>
      </c>
      <c r="B132" s="127" t="inlineStr">
        <is>
          <t>Kellogg</t>
        </is>
      </c>
      <c r="C132" s="127" t="inlineStr">
        <is>
          <t>Finance</t>
        </is>
      </c>
      <c r="D132" s="127" t="inlineStr">
        <is>
          <t>Banking &amp; Financial Institutions</t>
        </is>
      </c>
      <c r="E132" s="127" t="n">
        <v>6</v>
      </c>
      <c r="F132" s="127" t="inlineStr">
        <is>
          <t>Journal of Finance; Review of Financial Studies; Journal of Financial Economics; Journal of Financial &amp; Quantitative Analysis</t>
        </is>
      </c>
    </row>
    <row r="133" ht="37.5" customHeight="1" s="91">
      <c r="A133" s="128" t="n">
        <v>4</v>
      </c>
      <c r="B133" s="128" t="inlineStr">
        <is>
          <t>Kellogg</t>
        </is>
      </c>
      <c r="C133" s="128" t="inlineStr">
        <is>
          <t>Finance</t>
        </is>
      </c>
      <c r="D133" s="128" t="inlineStr">
        <is>
          <t>International Finance</t>
        </is>
      </c>
      <c r="E133" s="128" t="n">
        <v>6</v>
      </c>
      <c r="F133" s="128" t="inlineStr">
        <is>
          <t>Journal of Finance; Review of Financial Studies; Journal of Financial Economics; Journal of Financial &amp; Quantitative Analysis</t>
        </is>
      </c>
    </row>
    <row r="134" ht="37.5" customHeight="1" s="91">
      <c r="A134" s="127" t="n">
        <v>4</v>
      </c>
      <c r="B134" s="127" t="inlineStr">
        <is>
          <t>Kellogg</t>
        </is>
      </c>
      <c r="C134" s="127" t="inlineStr">
        <is>
          <t>Management &amp; Organizations</t>
        </is>
      </c>
      <c r="D134" s="127" t="inlineStr">
        <is>
          <t>Organizational Behavior</t>
        </is>
      </c>
      <c r="E134" s="127" t="n">
        <v>7</v>
      </c>
      <c r="F134" s="127" t="inlineStr">
        <is>
          <t>Academy of Management Journal; Organization Science; Administrative Science Quarterly; Journal of Applied Psychology</t>
        </is>
      </c>
    </row>
    <row r="135" ht="37.5" customHeight="1" s="91">
      <c r="A135" s="128" t="n">
        <v>4</v>
      </c>
      <c r="B135" s="128" t="inlineStr">
        <is>
          <t>Kellogg</t>
        </is>
      </c>
      <c r="C135" s="128" t="inlineStr">
        <is>
          <t>Management &amp; Organizations</t>
        </is>
      </c>
      <c r="D135" s="128" t="inlineStr">
        <is>
          <t>Human Resources</t>
        </is>
      </c>
      <c r="E135" s="128" t="n">
        <v>6</v>
      </c>
      <c r="F135" s="128" t="inlineStr">
        <is>
          <t>Academy of Management Journal; Organization Science; Administrative Science Quarterly; Journal of Applied Psychology</t>
        </is>
      </c>
    </row>
    <row r="136" ht="37.5" customHeight="1" s="91">
      <c r="A136" s="127" t="n">
        <v>4</v>
      </c>
      <c r="B136" s="127" t="inlineStr">
        <is>
          <t>Kellogg</t>
        </is>
      </c>
      <c r="C136" s="127" t="inlineStr">
        <is>
          <t>Management &amp; Organizations</t>
        </is>
      </c>
      <c r="D136" s="127" t="inlineStr">
        <is>
          <t>Leadership &amp; Teams</t>
        </is>
      </c>
      <c r="E136" s="127" t="n">
        <v>6</v>
      </c>
      <c r="F136" s="127" t="inlineStr">
        <is>
          <t>Academy of Management Journal; Organization Science; Administrative Science Quarterly; Journal of Applied Psychology</t>
        </is>
      </c>
    </row>
    <row r="137" ht="37.5" customHeight="1" s="91">
      <c r="A137" s="128" t="n">
        <v>4</v>
      </c>
      <c r="B137" s="128" t="inlineStr">
        <is>
          <t>Kellogg</t>
        </is>
      </c>
      <c r="C137" s="128" t="inlineStr">
        <is>
          <t>Management &amp; Organizations</t>
        </is>
      </c>
      <c r="D137" s="128" t="inlineStr">
        <is>
          <t>Diversity &amp; Inclusion</t>
        </is>
      </c>
      <c r="E137" s="128" t="n">
        <v>6</v>
      </c>
      <c r="F137" s="128" t="inlineStr">
        <is>
          <t>Academy of Management Journal; Organization Science; Administrative Science Quarterly; Journal of Applied Psychology</t>
        </is>
      </c>
    </row>
    <row r="138" ht="37.5" customHeight="1" s="91">
      <c r="A138" s="127" t="n">
        <v>4</v>
      </c>
      <c r="B138" s="127" t="inlineStr">
        <is>
          <t>Kellogg</t>
        </is>
      </c>
      <c r="C138" s="127" t="inlineStr">
        <is>
          <t>Managerial Economics &amp; Decision Sciences</t>
        </is>
      </c>
      <c r="D138" s="127" t="inlineStr">
        <is>
          <t>Microeconomics</t>
        </is>
      </c>
      <c r="E138" s="127" t="n">
        <v>5</v>
      </c>
      <c r="F138" s="127" t="inlineStr">
        <is>
          <t>American Economic Review; Econometrica; Quarterly Journal of Economics; Review of Economic Studies</t>
        </is>
      </c>
    </row>
    <row r="139" ht="37.5" customHeight="1" s="91">
      <c r="A139" s="128" t="n">
        <v>4</v>
      </c>
      <c r="B139" s="128" t="inlineStr">
        <is>
          <t>Kellogg</t>
        </is>
      </c>
      <c r="C139" s="128" t="inlineStr">
        <is>
          <t>Managerial Economics &amp; Decision Sciences</t>
        </is>
      </c>
      <c r="D139" s="128" t="inlineStr">
        <is>
          <t>Macroeconomics</t>
        </is>
      </c>
      <c r="E139" s="128" t="n">
        <v>5</v>
      </c>
      <c r="F139" s="128" t="inlineStr">
        <is>
          <t>American Economic Review; Econometrica; Quarterly Journal of Economics; Review of Economic Studies</t>
        </is>
      </c>
    </row>
    <row r="140" ht="37.5" customHeight="1" s="91">
      <c r="A140" s="127" t="n">
        <v>4</v>
      </c>
      <c r="B140" s="127" t="inlineStr">
        <is>
          <t>Kellogg</t>
        </is>
      </c>
      <c r="C140" s="127" t="inlineStr">
        <is>
          <t>Managerial Economics &amp; Decision Sciences</t>
        </is>
      </c>
      <c r="D140" s="127" t="inlineStr">
        <is>
          <t>Applied Economics</t>
        </is>
      </c>
      <c r="E140" s="127" t="n">
        <v>5</v>
      </c>
      <c r="F140" s="127" t="inlineStr">
        <is>
          <t>American Economic Review; Econometrica; Quarterly Journal of Economics; Review of Economic Studies</t>
        </is>
      </c>
    </row>
    <row r="141" ht="37.5" customHeight="1" s="91">
      <c r="A141" s="128" t="n">
        <v>4</v>
      </c>
      <c r="B141" s="128" t="inlineStr">
        <is>
          <t>Kellogg</t>
        </is>
      </c>
      <c r="C141" s="128" t="inlineStr">
        <is>
          <t>Managerial Economics &amp; Decision Sciences</t>
        </is>
      </c>
      <c r="D141" s="128" t="inlineStr">
        <is>
          <t>Industrial Organization</t>
        </is>
      </c>
      <c r="E141" s="128" t="n">
        <v>5</v>
      </c>
      <c r="F141" s="128" t="inlineStr">
        <is>
          <t>American Economic Review; Econometrica; Quarterly Journal of Economics; Review of Economic Studies</t>
        </is>
      </c>
    </row>
    <row r="142" ht="37.5" customHeight="1" s="91">
      <c r="A142" s="127" t="n">
        <v>4</v>
      </c>
      <c r="B142" s="127" t="inlineStr">
        <is>
          <t>Kellogg</t>
        </is>
      </c>
      <c r="C142" s="127" t="inlineStr">
        <is>
          <t>Marketing</t>
        </is>
      </c>
      <c r="D142" s="127" t="inlineStr">
        <is>
          <t>Consumer Behavior</t>
        </is>
      </c>
      <c r="E142" s="127" t="n">
        <v>6</v>
      </c>
      <c r="F142" s="127" t="inlineStr">
        <is>
          <t>Journal of Marketing Research; Journal of Marketing; Marketing Science; Journal of Consumer Research</t>
        </is>
      </c>
    </row>
    <row r="143" ht="37.5" customHeight="1" s="91">
      <c r="A143" s="128" t="n">
        <v>4</v>
      </c>
      <c r="B143" s="128" t="inlineStr">
        <is>
          <t>Kellogg</t>
        </is>
      </c>
      <c r="C143" s="128" t="inlineStr">
        <is>
          <t>Marketing</t>
        </is>
      </c>
      <c r="D143" s="128" t="inlineStr">
        <is>
          <t>Marketing Analytics</t>
        </is>
      </c>
      <c r="E143" s="128" t="n">
        <v>6</v>
      </c>
      <c r="F143" s="128" t="inlineStr">
        <is>
          <t>Journal of Marketing Research; Journal of Marketing; Marketing Science; Journal of Consumer Research</t>
        </is>
      </c>
    </row>
    <row r="144" ht="37.5" customHeight="1" s="91">
      <c r="A144" s="127" t="n">
        <v>4</v>
      </c>
      <c r="B144" s="127" t="inlineStr">
        <is>
          <t>Kellogg</t>
        </is>
      </c>
      <c r="C144" s="127" t="inlineStr">
        <is>
          <t>Marketing</t>
        </is>
      </c>
      <c r="D144" s="127" t="inlineStr">
        <is>
          <t>Digital Marketing</t>
        </is>
      </c>
      <c r="E144" s="127" t="n">
        <v>6</v>
      </c>
      <c r="F144" s="127" t="inlineStr">
        <is>
          <t>Journal of Marketing Research; Journal of Marketing; Marketing Science; Journal of Consumer Research</t>
        </is>
      </c>
    </row>
    <row r="145" ht="37.5" customHeight="1" s="91">
      <c r="A145" s="128" t="n">
        <v>4</v>
      </c>
      <c r="B145" s="128" t="inlineStr">
        <is>
          <t>Kellogg</t>
        </is>
      </c>
      <c r="C145" s="128" t="inlineStr">
        <is>
          <t>Marketing</t>
        </is>
      </c>
      <c r="D145" s="128" t="inlineStr">
        <is>
          <t>Brand Management</t>
        </is>
      </c>
      <c r="E145" s="128" t="n">
        <v>5</v>
      </c>
      <c r="F145" s="128" t="inlineStr">
        <is>
          <t>Journal of Marketing Research; Journal of Marketing; Marketing Science; Journal of Consumer Research</t>
        </is>
      </c>
    </row>
    <row r="146" ht="37.5" customHeight="1" s="91">
      <c r="A146" s="127" t="n">
        <v>4</v>
      </c>
      <c r="B146" s="127" t="inlineStr">
        <is>
          <t>Kellogg</t>
        </is>
      </c>
      <c r="C146" s="127" t="inlineStr">
        <is>
          <t>Operations</t>
        </is>
      </c>
      <c r="D146" s="127" t="inlineStr">
        <is>
          <t>Supply Chain Management</t>
        </is>
      </c>
      <c r="E146" s="127" t="n">
        <v>4</v>
      </c>
      <c r="F146" s="127" t="inlineStr">
        <is>
          <t>Management Science; Operations Research; Manufacturing &amp; Service Operations Management; Production &amp; Operations Management</t>
        </is>
      </c>
    </row>
    <row r="147" ht="37.5" customHeight="1" s="91">
      <c r="A147" s="128" t="n">
        <v>4</v>
      </c>
      <c r="B147" s="128" t="inlineStr">
        <is>
          <t>Kellogg</t>
        </is>
      </c>
      <c r="C147" s="128" t="inlineStr">
        <is>
          <t>Operations</t>
        </is>
      </c>
      <c r="D147" s="128" t="inlineStr">
        <is>
          <t>Operations Research</t>
        </is>
      </c>
      <c r="E147" s="128" t="n">
        <v>3</v>
      </c>
      <c r="F147" s="128" t="inlineStr">
        <is>
          <t>Management Science; Operations Research; Manufacturing &amp; Service Operations Management; Production &amp; Operations Management</t>
        </is>
      </c>
    </row>
    <row r="148" ht="37.5" customHeight="1" s="91">
      <c r="A148" s="127" t="n">
        <v>4</v>
      </c>
      <c r="B148" s="127" t="inlineStr">
        <is>
          <t>Kellogg</t>
        </is>
      </c>
      <c r="C148" s="127" t="inlineStr">
        <is>
          <t>Operations</t>
        </is>
      </c>
      <c r="D148" s="127" t="inlineStr">
        <is>
          <t>Process Optimization</t>
        </is>
      </c>
      <c r="E148" s="127" t="n">
        <v>3</v>
      </c>
      <c r="F148" s="127" t="inlineStr">
        <is>
          <t>Management Science; Operations Research; Manufacturing &amp; Service Operations Management; Production &amp; Operations Management</t>
        </is>
      </c>
    </row>
    <row r="149" ht="37.5" customHeight="1" s="91">
      <c r="A149" s="128" t="n">
        <v>4</v>
      </c>
      <c r="B149" s="128" t="inlineStr">
        <is>
          <t>Kellogg</t>
        </is>
      </c>
      <c r="C149" s="128" t="inlineStr">
        <is>
          <t>Operations</t>
        </is>
      </c>
      <c r="D149" s="128" t="inlineStr">
        <is>
          <t>Analytics</t>
        </is>
      </c>
      <c r="E149" s="128" t="n">
        <v>3</v>
      </c>
      <c r="F149" s="128" t="inlineStr">
        <is>
          <t>Management Science; Operations Research; Manufacturing &amp; Service Operations Management; Production &amp; Operations Management</t>
        </is>
      </c>
    </row>
    <row r="150" ht="37.5" customHeight="1" s="91">
      <c r="A150" s="127" t="n">
        <v>4</v>
      </c>
      <c r="B150" s="127" t="inlineStr">
        <is>
          <t>Kellogg</t>
        </is>
      </c>
      <c r="C150" s="127" t="inlineStr">
        <is>
          <t>Strategy</t>
        </is>
      </c>
      <c r="D150" s="127" t="inlineStr">
        <is>
          <t>Competitive Strategy</t>
        </is>
      </c>
      <c r="E150" s="127" t="n">
        <v>6</v>
      </c>
      <c r="F150" s="127" t="inlineStr">
        <is>
          <t>Strategic Management Journal; Academy of Management Review; Organization Science; Journal of Economics &amp; Management Strategy</t>
        </is>
      </c>
    </row>
    <row r="151" ht="37.5" customHeight="1" s="91">
      <c r="A151" s="128" t="n">
        <v>4</v>
      </c>
      <c r="B151" s="128" t="inlineStr">
        <is>
          <t>Kellogg</t>
        </is>
      </c>
      <c r="C151" s="128" t="inlineStr">
        <is>
          <t>Strategy</t>
        </is>
      </c>
      <c r="D151" s="128" t="inlineStr">
        <is>
          <t>Corporate Strategy</t>
        </is>
      </c>
      <c r="E151" s="128" t="n">
        <v>6</v>
      </c>
      <c r="F151" s="128" t="inlineStr">
        <is>
          <t>Strategic Management Journal; Academy of Management Review; Organization Science; Journal of Economics &amp; Management Strategy</t>
        </is>
      </c>
    </row>
    <row r="152" ht="37.5" customHeight="1" s="91">
      <c r="A152" s="127" t="n">
        <v>4</v>
      </c>
      <c r="B152" s="127" t="inlineStr">
        <is>
          <t>Kellogg</t>
        </is>
      </c>
      <c r="C152" s="127" t="inlineStr">
        <is>
          <t>Strategy</t>
        </is>
      </c>
      <c r="D152" s="127" t="inlineStr">
        <is>
          <t>Innovation</t>
        </is>
      </c>
      <c r="E152" s="127" t="n">
        <v>6</v>
      </c>
      <c r="F152" s="127" t="inlineStr">
        <is>
          <t>Strategic Management Journal; Academy of Management Review; Organization Science; Journal of Economics &amp; Management Strategy</t>
        </is>
      </c>
    </row>
    <row r="153" ht="37.5" customHeight="1" s="91">
      <c r="A153" s="128" t="n">
        <v>4</v>
      </c>
      <c r="B153" s="128" t="inlineStr">
        <is>
          <t>Kellogg</t>
        </is>
      </c>
      <c r="C153" s="128" t="inlineStr">
        <is>
          <t>Strategy</t>
        </is>
      </c>
      <c r="D153" s="128" t="inlineStr">
        <is>
          <t>Strategic Management</t>
        </is>
      </c>
      <c r="E153" s="128" t="n">
        <v>6</v>
      </c>
      <c r="F153" s="128" t="inlineStr">
        <is>
          <t>Strategic Management Journal; Academy of Management Review; Organization Science; Journal of Economics &amp; Management Strategy</t>
        </is>
      </c>
    </row>
    <row r="154" ht="37.5" customHeight="1" s="91">
      <c r="A154" s="127" t="n">
        <v>5</v>
      </c>
      <c r="B154" s="127" t="inlineStr">
        <is>
          <t>MIT Sloan</t>
        </is>
      </c>
      <c r="C154" s="127" t="inlineStr">
        <is>
          <t>Accounting</t>
        </is>
      </c>
      <c r="D154" s="127" t="inlineStr">
        <is>
          <t>Financial Accounting</t>
        </is>
      </c>
      <c r="E154" s="127" t="n">
        <v>3</v>
      </c>
      <c r="F154" s="127" t="inlineStr">
        <is>
          <t>The Accounting Review; Journal of Accounting Research; Journal of Accounting &amp; Economics; Review of Accounting Studies</t>
        </is>
      </c>
    </row>
    <row r="155" ht="37.5" customHeight="1" s="91">
      <c r="A155" s="128" t="n">
        <v>5</v>
      </c>
      <c r="B155" s="128" t="inlineStr">
        <is>
          <t>MIT Sloan</t>
        </is>
      </c>
      <c r="C155" s="128" t="inlineStr">
        <is>
          <t>Accounting</t>
        </is>
      </c>
      <c r="D155" s="128" t="inlineStr">
        <is>
          <t>Managerial Accounting</t>
        </is>
      </c>
      <c r="E155" s="128" t="n">
        <v>2</v>
      </c>
      <c r="F155" s="128" t="inlineStr">
        <is>
          <t>The Accounting Review; Journal of Accounting Research; Journal of Accounting &amp; Economics; Review of Accounting Studies</t>
        </is>
      </c>
    </row>
    <row r="156" ht="37.5" customHeight="1" s="91">
      <c r="A156" s="127" t="n">
        <v>5</v>
      </c>
      <c r="B156" s="127" t="inlineStr">
        <is>
          <t>MIT Sloan</t>
        </is>
      </c>
      <c r="C156" s="127" t="inlineStr">
        <is>
          <t>Accounting</t>
        </is>
      </c>
      <c r="D156" s="127" t="inlineStr">
        <is>
          <t>Auditing &amp; Assurance</t>
        </is>
      </c>
      <c r="E156" s="127" t="n">
        <v>2</v>
      </c>
      <c r="F156" s="127" t="inlineStr">
        <is>
          <t>The Accounting Review; Journal of Accounting Research; Journal of Accounting &amp; Economics; Review of Accounting Studies</t>
        </is>
      </c>
    </row>
    <row r="157" ht="37.5" customHeight="1" s="91">
      <c r="A157" s="128" t="n">
        <v>5</v>
      </c>
      <c r="B157" s="128" t="inlineStr">
        <is>
          <t>MIT Sloan</t>
        </is>
      </c>
      <c r="C157" s="128" t="inlineStr">
        <is>
          <t>Accounting</t>
        </is>
      </c>
      <c r="D157" s="128" t="inlineStr">
        <is>
          <t>Tax</t>
        </is>
      </c>
      <c r="E157" s="128" t="n">
        <v>2</v>
      </c>
      <c r="F157" s="128" t="inlineStr">
        <is>
          <t>The Accounting Review; Journal of Accounting Research; Journal of Accounting &amp; Economics; Review of Accounting Studies</t>
        </is>
      </c>
    </row>
    <row r="158" ht="37.5" customHeight="1" s="91">
      <c r="A158" s="127" t="n">
        <v>5</v>
      </c>
      <c r="B158" s="127" t="inlineStr">
        <is>
          <t>MIT Sloan</t>
        </is>
      </c>
      <c r="C158" s="127" t="inlineStr">
        <is>
          <t>Applied Economics</t>
        </is>
      </c>
      <c r="D158" s="127" t="inlineStr">
        <is>
          <t>Microeconomics</t>
        </is>
      </c>
      <c r="E158" s="127" t="n">
        <v>5</v>
      </c>
      <c r="F158" s="127" t="inlineStr">
        <is>
          <t>American Economic Review; Econometrica; Quarterly Journal of Economics; Review of Economic Studies</t>
        </is>
      </c>
    </row>
    <row r="159" ht="37.5" customHeight="1" s="91">
      <c r="A159" s="128" t="n">
        <v>5</v>
      </c>
      <c r="B159" s="128" t="inlineStr">
        <is>
          <t>MIT Sloan</t>
        </is>
      </c>
      <c r="C159" s="128" t="inlineStr">
        <is>
          <t>Applied Economics</t>
        </is>
      </c>
      <c r="D159" s="128" t="inlineStr">
        <is>
          <t>Macroeconomics</t>
        </is>
      </c>
      <c r="E159" s="128" t="n">
        <v>5</v>
      </c>
      <c r="F159" s="128" t="inlineStr">
        <is>
          <t>American Economic Review; Econometrica; Quarterly Journal of Economics; Review of Economic Studies</t>
        </is>
      </c>
    </row>
    <row r="160" ht="37.5" customHeight="1" s="91">
      <c r="A160" s="127" t="n">
        <v>5</v>
      </c>
      <c r="B160" s="127" t="inlineStr">
        <is>
          <t>MIT Sloan</t>
        </is>
      </c>
      <c r="C160" s="127" t="inlineStr">
        <is>
          <t>Applied Economics</t>
        </is>
      </c>
      <c r="D160" s="127" t="inlineStr">
        <is>
          <t>Applied Economics</t>
        </is>
      </c>
      <c r="E160" s="127" t="n">
        <v>4</v>
      </c>
      <c r="F160" s="127" t="inlineStr">
        <is>
          <t>American Economic Review; Econometrica; Quarterly Journal of Economics; Review of Economic Studies</t>
        </is>
      </c>
    </row>
    <row r="161" ht="37.5" customHeight="1" s="91">
      <c r="A161" s="128" t="n">
        <v>5</v>
      </c>
      <c r="B161" s="128" t="inlineStr">
        <is>
          <t>MIT Sloan</t>
        </is>
      </c>
      <c r="C161" s="128" t="inlineStr">
        <is>
          <t>Applied Economics</t>
        </is>
      </c>
      <c r="D161" s="128" t="inlineStr">
        <is>
          <t>Industrial Organization</t>
        </is>
      </c>
      <c r="E161" s="128" t="n">
        <v>4</v>
      </c>
      <c r="F161" s="128" t="inlineStr">
        <is>
          <t>American Economic Review; Econometrica; Quarterly Journal of Economics; Review of Economic Studies</t>
        </is>
      </c>
    </row>
    <row r="162" ht="37.5" customHeight="1" s="91">
      <c r="A162" s="127" t="n">
        <v>5</v>
      </c>
      <c r="B162" s="127" t="inlineStr">
        <is>
          <t>MIT Sloan</t>
        </is>
      </c>
      <c r="C162" s="127" t="inlineStr">
        <is>
          <t>Finance</t>
        </is>
      </c>
      <c r="D162" s="127" t="inlineStr">
        <is>
          <t>Corporate Finance</t>
        </is>
      </c>
      <c r="E162" s="127" t="n">
        <v>6</v>
      </c>
      <c r="F162" s="127" t="inlineStr">
        <is>
          <t>Journal of Finance; Review of Financial Studies; Journal of Financial Economics; Journal of Financial &amp; Quantitative Analysis</t>
        </is>
      </c>
    </row>
    <row r="163" ht="37.5" customHeight="1" s="91">
      <c r="A163" s="128" t="n">
        <v>5</v>
      </c>
      <c r="B163" s="128" t="inlineStr">
        <is>
          <t>MIT Sloan</t>
        </is>
      </c>
      <c r="C163" s="128" t="inlineStr">
        <is>
          <t>Finance</t>
        </is>
      </c>
      <c r="D163" s="128" t="inlineStr">
        <is>
          <t>Asset Pricing</t>
        </is>
      </c>
      <c r="E163" s="128" t="n">
        <v>5</v>
      </c>
      <c r="F163" s="128" t="inlineStr">
        <is>
          <t>Journal of Finance; Review of Financial Studies; Journal of Financial Economics; Journal of Financial &amp; Quantitative Analysis</t>
        </is>
      </c>
    </row>
    <row r="164" ht="37.5" customHeight="1" s="91">
      <c r="A164" s="127" t="n">
        <v>5</v>
      </c>
      <c r="B164" s="127" t="inlineStr">
        <is>
          <t>MIT Sloan</t>
        </is>
      </c>
      <c r="C164" s="127" t="inlineStr">
        <is>
          <t>Finance</t>
        </is>
      </c>
      <c r="D164" s="127" t="inlineStr">
        <is>
          <t>Banking &amp; Financial Institutions</t>
        </is>
      </c>
      <c r="E164" s="127" t="n">
        <v>5</v>
      </c>
      <c r="F164" s="127" t="inlineStr">
        <is>
          <t>Journal of Finance; Review of Financial Studies; Journal of Financial Economics; Journal of Financial &amp; Quantitative Analysis</t>
        </is>
      </c>
    </row>
    <row r="165" ht="37.5" customHeight="1" s="91">
      <c r="A165" s="128" t="n">
        <v>5</v>
      </c>
      <c r="B165" s="128" t="inlineStr">
        <is>
          <t>MIT Sloan</t>
        </is>
      </c>
      <c r="C165" s="128" t="inlineStr">
        <is>
          <t>Finance</t>
        </is>
      </c>
      <c r="D165" s="128" t="inlineStr">
        <is>
          <t>International Finance</t>
        </is>
      </c>
      <c r="E165" s="128" t="n">
        <v>5</v>
      </c>
      <c r="F165" s="128" t="inlineStr">
        <is>
          <t>Journal of Finance; Review of Financial Studies; Journal of Financial Economics; Journal of Financial &amp; Quantitative Analysis</t>
        </is>
      </c>
    </row>
    <row r="166" ht="37.5" customHeight="1" s="91">
      <c r="A166" s="127" t="n">
        <v>5</v>
      </c>
      <c r="B166" s="127" t="inlineStr">
        <is>
          <t>MIT Sloan</t>
        </is>
      </c>
      <c r="C166" s="127" t="inlineStr">
        <is>
          <t>Global Economics &amp; Management</t>
        </is>
      </c>
      <c r="D166" s="127" t="inlineStr">
        <is>
          <t>Microeconomics</t>
        </is>
      </c>
      <c r="E166" s="127" t="n">
        <v>2</v>
      </c>
      <c r="F166" s="127" t="inlineStr">
        <is>
          <t>American Economic Review; Econometrica; Quarterly Journal of Economics; Review of Economic Studies</t>
        </is>
      </c>
    </row>
    <row r="167" ht="37.5" customHeight="1" s="91">
      <c r="A167" s="128" t="n">
        <v>5</v>
      </c>
      <c r="B167" s="128" t="inlineStr">
        <is>
          <t>MIT Sloan</t>
        </is>
      </c>
      <c r="C167" s="128" t="inlineStr">
        <is>
          <t>Global Economics &amp; Management</t>
        </is>
      </c>
      <c r="D167" s="128" t="inlineStr">
        <is>
          <t>Macroeconomics</t>
        </is>
      </c>
      <c r="E167" s="128" t="n">
        <v>1</v>
      </c>
      <c r="F167" s="128" t="inlineStr">
        <is>
          <t>American Economic Review; Econometrica; Quarterly Journal of Economics; Review of Economic Studies</t>
        </is>
      </c>
    </row>
    <row r="168" ht="37.5" customHeight="1" s="91">
      <c r="A168" s="127" t="n">
        <v>5</v>
      </c>
      <c r="B168" s="127" t="inlineStr">
        <is>
          <t>MIT Sloan</t>
        </is>
      </c>
      <c r="C168" s="127" t="inlineStr">
        <is>
          <t>Global Economics &amp; Management</t>
        </is>
      </c>
      <c r="D168" s="127" t="inlineStr">
        <is>
          <t>Applied Economics</t>
        </is>
      </c>
      <c r="E168" s="127" t="n">
        <v>1</v>
      </c>
      <c r="F168" s="127" t="inlineStr">
        <is>
          <t>American Economic Review; Econometrica; Quarterly Journal of Economics; Review of Economic Studies</t>
        </is>
      </c>
    </row>
    <row r="169" ht="37.5" customHeight="1" s="91">
      <c r="A169" s="128" t="n">
        <v>5</v>
      </c>
      <c r="B169" s="128" t="inlineStr">
        <is>
          <t>MIT Sloan</t>
        </is>
      </c>
      <c r="C169" s="128" t="inlineStr">
        <is>
          <t>Global Economics &amp; Management</t>
        </is>
      </c>
      <c r="D169" s="128" t="inlineStr">
        <is>
          <t>Industrial Organization</t>
        </is>
      </c>
      <c r="E169" s="128" t="n">
        <v>1</v>
      </c>
      <c r="F169" s="128" t="inlineStr">
        <is>
          <t>American Economic Review; Econometrica; Quarterly Journal of Economics; Review of Economic Studies</t>
        </is>
      </c>
    </row>
    <row r="170" ht="37.5" customHeight="1" s="91">
      <c r="A170" s="127" t="n">
        <v>5</v>
      </c>
      <c r="B170" s="127" t="inlineStr">
        <is>
          <t>MIT Sloan</t>
        </is>
      </c>
      <c r="C170" s="127" t="inlineStr">
        <is>
          <t>Information Technology</t>
        </is>
      </c>
      <c r="D170" s="127" t="inlineStr">
        <is>
          <t>Information Systems</t>
        </is>
      </c>
      <c r="E170" s="127" t="n">
        <v>4</v>
      </c>
      <c r="F170" s="127" t="inlineStr">
        <is>
          <t>Information Systems Research; MIS Quarterly; Journal of Management Information Systems; Decision Support Systems</t>
        </is>
      </c>
    </row>
    <row r="171" ht="37.5" customHeight="1" s="91">
      <c r="A171" s="128" t="n">
        <v>5</v>
      </c>
      <c r="B171" s="128" t="inlineStr">
        <is>
          <t>MIT Sloan</t>
        </is>
      </c>
      <c r="C171" s="128" t="inlineStr">
        <is>
          <t>Information Technology</t>
        </is>
      </c>
      <c r="D171" s="128" t="inlineStr">
        <is>
          <t>Business Analytics</t>
        </is>
      </c>
      <c r="E171" s="128" t="n">
        <v>3</v>
      </c>
      <c r="F171" s="128" t="inlineStr">
        <is>
          <t>Information Systems Research; MIS Quarterly; Journal of Management Information Systems; Decision Support Systems</t>
        </is>
      </c>
    </row>
    <row r="172" ht="37.5" customHeight="1" s="91">
      <c r="A172" s="127" t="n">
        <v>5</v>
      </c>
      <c r="B172" s="127" t="inlineStr">
        <is>
          <t>MIT Sloan</t>
        </is>
      </c>
      <c r="C172" s="127" t="inlineStr">
        <is>
          <t>Information Technology</t>
        </is>
      </c>
      <c r="D172" s="127" t="inlineStr">
        <is>
          <t>Technology Management</t>
        </is>
      </c>
      <c r="E172" s="127" t="n">
        <v>3</v>
      </c>
      <c r="F172" s="127" t="inlineStr">
        <is>
          <t>Information Systems Research; MIS Quarterly; Journal of Management Information Systems; Decision Support Systems</t>
        </is>
      </c>
    </row>
    <row r="173" ht="37.5" customHeight="1" s="91">
      <c r="A173" s="128" t="n">
        <v>5</v>
      </c>
      <c r="B173" s="128" t="inlineStr">
        <is>
          <t>MIT Sloan</t>
        </is>
      </c>
      <c r="C173" s="128" t="inlineStr">
        <is>
          <t>Information Technology</t>
        </is>
      </c>
      <c r="D173" s="128" t="inlineStr">
        <is>
          <t>Data Science</t>
        </is>
      </c>
      <c r="E173" s="128" t="n">
        <v>3</v>
      </c>
      <c r="F173" s="128" t="inlineStr">
        <is>
          <t>Information Systems Research; MIS Quarterly; Journal of Management Information Systems; Decision Support Systems</t>
        </is>
      </c>
    </row>
    <row r="174" ht="37.5" customHeight="1" s="91">
      <c r="A174" s="127" t="n">
        <v>5</v>
      </c>
      <c r="B174" s="127" t="inlineStr">
        <is>
          <t>MIT Sloan</t>
        </is>
      </c>
      <c r="C174" s="127" t="inlineStr">
        <is>
          <t>Marketing</t>
        </is>
      </c>
      <c r="D174" s="127" t="inlineStr">
        <is>
          <t>Consumer Behavior</t>
        </is>
      </c>
      <c r="E174" s="127" t="n">
        <v>2</v>
      </c>
      <c r="F174" s="127" t="inlineStr">
        <is>
          <t>Journal of Marketing Research; Journal of Marketing; Marketing Science; Journal of Consumer Research</t>
        </is>
      </c>
    </row>
    <row r="175" ht="37.5" customHeight="1" s="91">
      <c r="A175" s="128" t="n">
        <v>5</v>
      </c>
      <c r="B175" s="128" t="inlineStr">
        <is>
          <t>MIT Sloan</t>
        </is>
      </c>
      <c r="C175" s="128" t="inlineStr">
        <is>
          <t>Marketing</t>
        </is>
      </c>
      <c r="D175" s="128" t="inlineStr">
        <is>
          <t>Marketing Analytics</t>
        </is>
      </c>
      <c r="E175" s="128" t="n">
        <v>2</v>
      </c>
      <c r="F175" s="128" t="inlineStr">
        <is>
          <t>Journal of Marketing Research; Journal of Marketing; Marketing Science; Journal of Consumer Research</t>
        </is>
      </c>
    </row>
    <row r="176" ht="37.5" customHeight="1" s="91">
      <c r="A176" s="127" t="n">
        <v>5</v>
      </c>
      <c r="B176" s="127" t="inlineStr">
        <is>
          <t>MIT Sloan</t>
        </is>
      </c>
      <c r="C176" s="127" t="inlineStr">
        <is>
          <t>Marketing</t>
        </is>
      </c>
      <c r="D176" s="127" t="inlineStr">
        <is>
          <t>Digital Marketing</t>
        </is>
      </c>
      <c r="E176" s="127" t="n">
        <v>2</v>
      </c>
      <c r="F176" s="127" t="inlineStr">
        <is>
          <t>Journal of Marketing Research; Journal of Marketing; Marketing Science; Journal of Consumer Research</t>
        </is>
      </c>
    </row>
    <row r="177" ht="37.5" customHeight="1" s="91">
      <c r="A177" s="128" t="n">
        <v>5</v>
      </c>
      <c r="B177" s="128" t="inlineStr">
        <is>
          <t>MIT Sloan</t>
        </is>
      </c>
      <c r="C177" s="128" t="inlineStr">
        <is>
          <t>Marketing</t>
        </is>
      </c>
      <c r="D177" s="128" t="inlineStr">
        <is>
          <t>Brand Management</t>
        </is>
      </c>
      <c r="E177" s="128" t="n">
        <v>1</v>
      </c>
      <c r="F177" s="128" t="inlineStr">
        <is>
          <t>Journal of Marketing Research; Journal of Marketing; Marketing Science; Journal of Consumer Research</t>
        </is>
      </c>
    </row>
    <row r="178" ht="37.5" customHeight="1" s="91">
      <c r="A178" s="127" t="n">
        <v>5</v>
      </c>
      <c r="B178" s="127" t="inlineStr">
        <is>
          <t>MIT Sloan</t>
        </is>
      </c>
      <c r="C178" s="127" t="inlineStr">
        <is>
          <t>Operations Management</t>
        </is>
      </c>
      <c r="D178" s="127" t="inlineStr">
        <is>
          <t>Supply Chain Management</t>
        </is>
      </c>
      <c r="E178" s="127" t="n">
        <v>3</v>
      </c>
      <c r="F178" s="127" t="inlineStr">
        <is>
          <t>Management Science; Operations Research; Manufacturing &amp; Service Operations Management; Production &amp; Operations Management</t>
        </is>
      </c>
    </row>
    <row r="179" ht="37.5" customHeight="1" s="91">
      <c r="A179" s="128" t="n">
        <v>5</v>
      </c>
      <c r="B179" s="128" t="inlineStr">
        <is>
          <t>MIT Sloan</t>
        </is>
      </c>
      <c r="C179" s="128" t="inlineStr">
        <is>
          <t>Operations Management</t>
        </is>
      </c>
      <c r="D179" s="128" t="inlineStr">
        <is>
          <t>Operations Research</t>
        </is>
      </c>
      <c r="E179" s="128" t="n">
        <v>3</v>
      </c>
      <c r="F179" s="128" t="inlineStr">
        <is>
          <t>Management Science; Operations Research; Manufacturing &amp; Service Operations Management; Production &amp; Operations Management</t>
        </is>
      </c>
    </row>
    <row r="180" ht="37.5" customHeight="1" s="91">
      <c r="A180" s="127" t="n">
        <v>5</v>
      </c>
      <c r="B180" s="127" t="inlineStr">
        <is>
          <t>MIT Sloan</t>
        </is>
      </c>
      <c r="C180" s="127" t="inlineStr">
        <is>
          <t>Operations Management</t>
        </is>
      </c>
      <c r="D180" s="127" t="inlineStr">
        <is>
          <t>Process Optimization</t>
        </is>
      </c>
      <c r="E180" s="127" t="n">
        <v>3</v>
      </c>
      <c r="F180" s="127" t="inlineStr">
        <is>
          <t>Management Science; Operations Research; Manufacturing &amp; Service Operations Management; Production &amp; Operations Management</t>
        </is>
      </c>
    </row>
    <row r="181" ht="37.5" customHeight="1" s="91">
      <c r="A181" s="128" t="n">
        <v>5</v>
      </c>
      <c r="B181" s="128" t="inlineStr">
        <is>
          <t>MIT Sloan</t>
        </is>
      </c>
      <c r="C181" s="128" t="inlineStr">
        <is>
          <t>Operations Management</t>
        </is>
      </c>
      <c r="D181" s="128" t="inlineStr">
        <is>
          <t>Analytics</t>
        </is>
      </c>
      <c r="E181" s="128" t="n">
        <v>2</v>
      </c>
      <c r="F181" s="128" t="inlineStr">
        <is>
          <t>Management Science; Operations Research; Manufacturing &amp; Service Operations Management; Production &amp; Operations Management</t>
        </is>
      </c>
    </row>
    <row r="182" ht="37.5" customHeight="1" s="91">
      <c r="A182" s="127" t="n">
        <v>5</v>
      </c>
      <c r="B182" s="127" t="inlineStr">
        <is>
          <t>MIT Sloan</t>
        </is>
      </c>
      <c r="C182" s="127" t="inlineStr">
        <is>
          <t>Operations Research &amp; Statistics</t>
        </is>
      </c>
      <c r="D182" s="127" t="inlineStr">
        <is>
          <t>Supply Chain Management</t>
        </is>
      </c>
      <c r="E182" s="127" t="n">
        <v>4</v>
      </c>
      <c r="F182" s="127" t="inlineStr">
        <is>
          <t>Management Science; Operations Research; Manufacturing &amp; Service Operations Management; Production &amp; Operations Management</t>
        </is>
      </c>
    </row>
    <row r="183" ht="37.5" customHeight="1" s="91">
      <c r="A183" s="128" t="n">
        <v>5</v>
      </c>
      <c r="B183" s="128" t="inlineStr">
        <is>
          <t>MIT Sloan</t>
        </is>
      </c>
      <c r="C183" s="128" t="inlineStr">
        <is>
          <t>Operations Research &amp; Statistics</t>
        </is>
      </c>
      <c r="D183" s="128" t="inlineStr">
        <is>
          <t>Operations Research</t>
        </is>
      </c>
      <c r="E183" s="128" t="n">
        <v>4</v>
      </c>
      <c r="F183" s="128" t="inlineStr">
        <is>
          <t>Management Science; Operations Research; Manufacturing &amp; Service Operations Management; Production &amp; Operations Management</t>
        </is>
      </c>
    </row>
    <row r="184" ht="37.5" customHeight="1" s="91">
      <c r="A184" s="127" t="n">
        <v>5</v>
      </c>
      <c r="B184" s="127" t="inlineStr">
        <is>
          <t>MIT Sloan</t>
        </is>
      </c>
      <c r="C184" s="127" t="inlineStr">
        <is>
          <t>Operations Research &amp; Statistics</t>
        </is>
      </c>
      <c r="D184" s="127" t="inlineStr">
        <is>
          <t>Process Optimization</t>
        </is>
      </c>
      <c r="E184" s="127" t="n">
        <v>3</v>
      </c>
      <c r="F184" s="127" t="inlineStr">
        <is>
          <t>Management Science; Operations Research; Manufacturing &amp; Service Operations Management; Production &amp; Operations Management</t>
        </is>
      </c>
    </row>
    <row r="185" ht="37.5" customHeight="1" s="91">
      <c r="A185" s="128" t="n">
        <v>5</v>
      </c>
      <c r="B185" s="128" t="inlineStr">
        <is>
          <t>MIT Sloan</t>
        </is>
      </c>
      <c r="C185" s="128" t="inlineStr">
        <is>
          <t>Operations Research &amp; Statistics</t>
        </is>
      </c>
      <c r="D185" s="128" t="inlineStr">
        <is>
          <t>Analytics</t>
        </is>
      </c>
      <c r="E185" s="128" t="n">
        <v>3</v>
      </c>
      <c r="F185" s="128" t="inlineStr">
        <is>
          <t>Management Science; Operations Research; Manufacturing &amp; Service Operations Management; Production &amp; Operations Management</t>
        </is>
      </c>
    </row>
    <row r="186" ht="37.5" customHeight="1" s="91">
      <c r="A186" s="127" t="n">
        <v>5</v>
      </c>
      <c r="B186" s="127" t="inlineStr">
        <is>
          <t>MIT Sloan</t>
        </is>
      </c>
      <c r="C186" s="127" t="inlineStr">
        <is>
          <t>System Dynamics</t>
        </is>
      </c>
      <c r="D186" s="127" t="inlineStr">
        <is>
          <t>Theory</t>
        </is>
      </c>
      <c r="E186" s="127" t="n">
        <v>2</v>
      </c>
      <c r="F186" s="127" t="inlineStr">
        <is>
          <t>Management Science; Academy of Management Journal; Journal of Business Research; Strategic Management Journal</t>
        </is>
      </c>
    </row>
    <row r="187" ht="37.5" customHeight="1" s="91">
      <c r="A187" s="128" t="n">
        <v>5</v>
      </c>
      <c r="B187" s="128" t="inlineStr">
        <is>
          <t>MIT Sloan</t>
        </is>
      </c>
      <c r="C187" s="128" t="inlineStr">
        <is>
          <t>System Dynamics</t>
        </is>
      </c>
      <c r="D187" s="128" t="inlineStr">
        <is>
          <t>Empirical Research</t>
        </is>
      </c>
      <c r="E187" s="128" t="n">
        <v>1</v>
      </c>
      <c r="F187" s="128" t="inlineStr">
        <is>
          <t>Management Science; Academy of Management Journal; Journal of Business Research; Strategic Management Journal</t>
        </is>
      </c>
    </row>
    <row r="188" ht="37.5" customHeight="1" s="91">
      <c r="A188" s="127" t="n">
        <v>5</v>
      </c>
      <c r="B188" s="127" t="inlineStr">
        <is>
          <t>MIT Sloan</t>
        </is>
      </c>
      <c r="C188" s="127" t="inlineStr">
        <is>
          <t>System Dynamics</t>
        </is>
      </c>
      <c r="D188" s="127" t="inlineStr">
        <is>
          <t>Applied Research</t>
        </is>
      </c>
      <c r="E188" s="127" t="n">
        <v>1</v>
      </c>
      <c r="F188" s="127" t="inlineStr">
        <is>
          <t>Management Science; Academy of Management Journal; Journal of Business Research; Strategic Management Journal</t>
        </is>
      </c>
    </row>
    <row r="189" ht="37.5" customHeight="1" s="91">
      <c r="A189" s="128" t="n">
        <v>5</v>
      </c>
      <c r="B189" s="128" t="inlineStr">
        <is>
          <t>MIT Sloan</t>
        </is>
      </c>
      <c r="C189" s="128" t="inlineStr">
        <is>
          <t>System Dynamics</t>
        </is>
      </c>
      <c r="D189" s="128" t="inlineStr">
        <is>
          <t>Policy</t>
        </is>
      </c>
      <c r="E189" s="128" t="n">
        <v>1</v>
      </c>
      <c r="F189" s="128" t="inlineStr">
        <is>
          <t>Management Science; Academy of Management Journal; Journal of Business Research; Strategic Management Journal</t>
        </is>
      </c>
    </row>
    <row r="190" ht="37.5" customHeight="1" s="91">
      <c r="A190" s="127" t="n">
        <v>5</v>
      </c>
      <c r="B190" s="127" t="inlineStr">
        <is>
          <t>MIT Sloan</t>
        </is>
      </c>
      <c r="C190" s="127" t="inlineStr">
        <is>
          <t>Technological Innovation, Entrepreneurship &amp; Strategic Management</t>
        </is>
      </c>
      <c r="D190" s="127" t="inlineStr">
        <is>
          <t>Competitive Strategy</t>
        </is>
      </c>
      <c r="E190" s="127" t="n">
        <v>3</v>
      </c>
      <c r="F190" s="127" t="inlineStr">
        <is>
          <t>Strategic Management Journal; Academy of Management Review; Organization Science; Journal of Economics &amp; Management Strategy</t>
        </is>
      </c>
    </row>
    <row r="191" ht="37.5" customHeight="1" s="91">
      <c r="A191" s="128" t="n">
        <v>5</v>
      </c>
      <c r="B191" s="128" t="inlineStr">
        <is>
          <t>MIT Sloan</t>
        </is>
      </c>
      <c r="C191" s="128" t="inlineStr">
        <is>
          <t>Technological Innovation, Entrepreneurship &amp; Strategic Management</t>
        </is>
      </c>
      <c r="D191" s="128" t="inlineStr">
        <is>
          <t>Corporate Strategy</t>
        </is>
      </c>
      <c r="E191" s="128" t="n">
        <v>3</v>
      </c>
      <c r="F191" s="128" t="inlineStr">
        <is>
          <t>Strategic Management Journal; Academy of Management Review; Organization Science; Journal of Economics &amp; Management Strategy</t>
        </is>
      </c>
    </row>
    <row r="192" ht="37.5" customHeight="1" s="91">
      <c r="A192" s="127" t="n">
        <v>5</v>
      </c>
      <c r="B192" s="127" t="inlineStr">
        <is>
          <t>MIT Sloan</t>
        </is>
      </c>
      <c r="C192" s="127" t="inlineStr">
        <is>
          <t>Technological Innovation, Entrepreneurship &amp; Strategic Management</t>
        </is>
      </c>
      <c r="D192" s="127" t="inlineStr">
        <is>
          <t>Innovation</t>
        </is>
      </c>
      <c r="E192" s="127" t="n">
        <v>3</v>
      </c>
      <c r="F192" s="127" t="inlineStr">
        <is>
          <t>Strategic Management Journal; Academy of Management Review; Organization Science; Journal of Economics &amp; Management Strategy</t>
        </is>
      </c>
    </row>
    <row r="193" ht="37.5" customHeight="1" s="91">
      <c r="A193" s="128" t="n">
        <v>5</v>
      </c>
      <c r="B193" s="128" t="inlineStr">
        <is>
          <t>MIT Sloan</t>
        </is>
      </c>
      <c r="C193" s="128" t="inlineStr">
        <is>
          <t>Technological Innovation, Entrepreneurship &amp; Strategic Management</t>
        </is>
      </c>
      <c r="D193" s="128" t="inlineStr">
        <is>
          <t>Strategic Management</t>
        </is>
      </c>
      <c r="E193" s="128" t="n">
        <v>2</v>
      </c>
      <c r="F193" s="128" t="inlineStr">
        <is>
          <t>Strategic Management Journal; Academy of Management Review; Organization Science; Journal of Economics &amp; Management Strategy</t>
        </is>
      </c>
    </row>
    <row r="194" ht="37.5" customHeight="1" s="91">
      <c r="A194" s="127" t="n">
        <v>5</v>
      </c>
      <c r="B194" s="127" t="inlineStr">
        <is>
          <t>MIT Sloan</t>
        </is>
      </c>
      <c r="C194" s="127" t="inlineStr">
        <is>
          <t>Work &amp; Organization Studies</t>
        </is>
      </c>
      <c r="D194" s="127" t="inlineStr">
        <is>
          <t>Organizational Behavior</t>
        </is>
      </c>
      <c r="E194" s="127" t="n">
        <v>4</v>
      </c>
      <c r="F194" s="127" t="inlineStr">
        <is>
          <t>Academy of Management Journal; Organization Science; Administrative Science Quarterly; Journal of Applied Psychology</t>
        </is>
      </c>
    </row>
    <row r="195" ht="37.5" customHeight="1" s="91">
      <c r="A195" s="128" t="n">
        <v>5</v>
      </c>
      <c r="B195" s="128" t="inlineStr">
        <is>
          <t>MIT Sloan</t>
        </is>
      </c>
      <c r="C195" s="128" t="inlineStr">
        <is>
          <t>Work &amp; Organization Studies</t>
        </is>
      </c>
      <c r="D195" s="128" t="inlineStr">
        <is>
          <t>Human Resources</t>
        </is>
      </c>
      <c r="E195" s="128" t="n">
        <v>4</v>
      </c>
      <c r="F195" s="128" t="inlineStr">
        <is>
          <t>Academy of Management Journal; Organization Science; Administrative Science Quarterly; Journal of Applied Psychology</t>
        </is>
      </c>
    </row>
    <row r="196" ht="37.5" customHeight="1" s="91">
      <c r="A196" s="127" t="n">
        <v>5</v>
      </c>
      <c r="B196" s="127" t="inlineStr">
        <is>
          <t>MIT Sloan</t>
        </is>
      </c>
      <c r="C196" s="127" t="inlineStr">
        <is>
          <t>Work &amp; Organization Studies</t>
        </is>
      </c>
      <c r="D196" s="127" t="inlineStr">
        <is>
          <t>Leadership &amp; Teams</t>
        </is>
      </c>
      <c r="E196" s="127" t="n">
        <v>4</v>
      </c>
      <c r="F196" s="127" t="inlineStr">
        <is>
          <t>Academy of Management Journal; Organization Science; Administrative Science Quarterly; Journal of Applied Psychology</t>
        </is>
      </c>
    </row>
    <row r="197" ht="37.5" customHeight="1" s="91">
      <c r="A197" s="128" t="n">
        <v>5</v>
      </c>
      <c r="B197" s="128" t="inlineStr">
        <is>
          <t>MIT Sloan</t>
        </is>
      </c>
      <c r="C197" s="128" t="inlineStr">
        <is>
          <t>Work &amp; Organization Studies</t>
        </is>
      </c>
      <c r="D197" s="128" t="inlineStr">
        <is>
          <t>Diversity &amp; Inclusion</t>
        </is>
      </c>
      <c r="E197" s="128" t="n">
        <v>3</v>
      </c>
      <c r="F197" s="128" t="inlineStr">
        <is>
          <t>Academy of Management Journal; Organization Science; Administrative Science Quarterly; Journal of Applied Psychology</t>
        </is>
      </c>
    </row>
    <row r="198" ht="37.5" customHeight="1" s="91">
      <c r="A198" s="127" t="n">
        <v>6</v>
      </c>
      <c r="B198" s="127" t="inlineStr">
        <is>
          <t>Stanford GSB</t>
        </is>
      </c>
      <c r="C198" s="127" t="inlineStr">
        <is>
          <t>Accounting</t>
        </is>
      </c>
      <c r="D198" s="127" t="inlineStr">
        <is>
          <t>Financial Accounting</t>
        </is>
      </c>
      <c r="E198" s="127" t="n">
        <v>4</v>
      </c>
      <c r="F198" s="127" t="inlineStr">
        <is>
          <t>The Accounting Review; Journal of Accounting Research; Journal of Accounting &amp; Economics; Review of Accounting Studies</t>
        </is>
      </c>
    </row>
    <row r="199" ht="37.5" customHeight="1" s="91">
      <c r="A199" s="128" t="n">
        <v>6</v>
      </c>
      <c r="B199" s="128" t="inlineStr">
        <is>
          <t>Stanford GSB</t>
        </is>
      </c>
      <c r="C199" s="128" t="inlineStr">
        <is>
          <t>Accounting</t>
        </is>
      </c>
      <c r="D199" s="128" t="inlineStr">
        <is>
          <t>Managerial Accounting</t>
        </is>
      </c>
      <c r="E199" s="128" t="n">
        <v>4</v>
      </c>
      <c r="F199" s="128" t="inlineStr">
        <is>
          <t>The Accounting Review; Journal of Accounting Research; Journal of Accounting &amp; Economics; Review of Accounting Studies</t>
        </is>
      </c>
    </row>
    <row r="200" ht="37.5" customHeight="1" s="91">
      <c r="A200" s="127" t="n">
        <v>6</v>
      </c>
      <c r="B200" s="127" t="inlineStr">
        <is>
          <t>Stanford GSB</t>
        </is>
      </c>
      <c r="C200" s="127" t="inlineStr">
        <is>
          <t>Accounting</t>
        </is>
      </c>
      <c r="D200" s="127" t="inlineStr">
        <is>
          <t>Auditing &amp; Assurance</t>
        </is>
      </c>
      <c r="E200" s="127" t="n">
        <v>4</v>
      </c>
      <c r="F200" s="127" t="inlineStr">
        <is>
          <t>The Accounting Review; Journal of Accounting Research; Journal of Accounting &amp; Economics; Review of Accounting Studies</t>
        </is>
      </c>
    </row>
    <row r="201" ht="37.5" customHeight="1" s="91">
      <c r="A201" s="128" t="n">
        <v>6</v>
      </c>
      <c r="B201" s="128" t="inlineStr">
        <is>
          <t>Stanford GSB</t>
        </is>
      </c>
      <c r="C201" s="128" t="inlineStr">
        <is>
          <t>Accounting</t>
        </is>
      </c>
      <c r="D201" s="128" t="inlineStr">
        <is>
          <t>Tax</t>
        </is>
      </c>
      <c r="E201" s="128" t="n">
        <v>3</v>
      </c>
      <c r="F201" s="128" t="inlineStr">
        <is>
          <t>The Accounting Review; Journal of Accounting Research; Journal of Accounting &amp; Economics; Review of Accounting Studies</t>
        </is>
      </c>
    </row>
    <row r="202" ht="37.5" customHeight="1" s="91">
      <c r="A202" s="127" t="n">
        <v>6</v>
      </c>
      <c r="B202" s="127" t="inlineStr">
        <is>
          <t>Stanford GSB</t>
        </is>
      </c>
      <c r="C202" s="127" t="inlineStr">
        <is>
          <t>Economic Analysis &amp; Policy</t>
        </is>
      </c>
      <c r="D202" s="127" t="inlineStr">
        <is>
          <t>Theory</t>
        </is>
      </c>
      <c r="E202" s="127" t="n">
        <v>7</v>
      </c>
      <c r="F202" s="127" t="inlineStr">
        <is>
          <t>Management Science; Academy of Management Journal; Journal of Business Research; Strategic Management Journal</t>
        </is>
      </c>
    </row>
    <row r="203" ht="37.5" customHeight="1" s="91">
      <c r="A203" s="128" t="n">
        <v>6</v>
      </c>
      <c r="B203" s="128" t="inlineStr">
        <is>
          <t>Stanford GSB</t>
        </is>
      </c>
      <c r="C203" s="128" t="inlineStr">
        <is>
          <t>Economic Analysis &amp; Policy</t>
        </is>
      </c>
      <c r="D203" s="128" t="inlineStr">
        <is>
          <t>Empirical Research</t>
        </is>
      </c>
      <c r="E203" s="128" t="n">
        <v>6</v>
      </c>
      <c r="F203" s="128" t="inlineStr">
        <is>
          <t>Management Science; Academy of Management Journal; Journal of Business Research; Strategic Management Journal</t>
        </is>
      </c>
    </row>
    <row r="204" ht="37.5" customHeight="1" s="91">
      <c r="A204" s="127" t="n">
        <v>6</v>
      </c>
      <c r="B204" s="127" t="inlineStr">
        <is>
          <t>Stanford GSB</t>
        </is>
      </c>
      <c r="C204" s="127" t="inlineStr">
        <is>
          <t>Economic Analysis &amp; Policy</t>
        </is>
      </c>
      <c r="D204" s="127" t="inlineStr">
        <is>
          <t>Applied Research</t>
        </is>
      </c>
      <c r="E204" s="127" t="n">
        <v>6</v>
      </c>
      <c r="F204" s="127" t="inlineStr">
        <is>
          <t>Management Science; Academy of Management Journal; Journal of Business Research; Strategic Management Journal</t>
        </is>
      </c>
    </row>
    <row r="205" ht="37.5" customHeight="1" s="91">
      <c r="A205" s="128" t="n">
        <v>6</v>
      </c>
      <c r="B205" s="128" t="inlineStr">
        <is>
          <t>Stanford GSB</t>
        </is>
      </c>
      <c r="C205" s="128" t="inlineStr">
        <is>
          <t>Economic Analysis &amp; Policy</t>
        </is>
      </c>
      <c r="D205" s="128" t="inlineStr">
        <is>
          <t>Policy</t>
        </is>
      </c>
      <c r="E205" s="128" t="n">
        <v>6</v>
      </c>
      <c r="F205" s="128" t="inlineStr">
        <is>
          <t>Management Science; Academy of Management Journal; Journal of Business Research; Strategic Management Journal</t>
        </is>
      </c>
    </row>
    <row r="206" ht="37.5" customHeight="1" s="91">
      <c r="A206" s="127" t="n">
        <v>6</v>
      </c>
      <c r="B206" s="127" t="inlineStr">
        <is>
          <t>Stanford GSB</t>
        </is>
      </c>
      <c r="C206" s="127" t="inlineStr">
        <is>
          <t>Finance</t>
        </is>
      </c>
      <c r="D206" s="127" t="inlineStr">
        <is>
          <t>Corporate Finance</t>
        </is>
      </c>
      <c r="E206" s="127" t="n">
        <v>6</v>
      </c>
      <c r="F206" s="127" t="inlineStr">
        <is>
          <t>Journal of Finance; Review of Financial Studies; Journal of Financial Economics; Journal of Financial &amp; Quantitative Analysis</t>
        </is>
      </c>
    </row>
    <row r="207" ht="37.5" customHeight="1" s="91">
      <c r="A207" s="128" t="n">
        <v>6</v>
      </c>
      <c r="B207" s="128" t="inlineStr">
        <is>
          <t>Stanford GSB</t>
        </is>
      </c>
      <c r="C207" s="128" t="inlineStr">
        <is>
          <t>Finance</t>
        </is>
      </c>
      <c r="D207" s="128" t="inlineStr">
        <is>
          <t>Asset Pricing</t>
        </is>
      </c>
      <c r="E207" s="128" t="n">
        <v>6</v>
      </c>
      <c r="F207" s="128" t="inlineStr">
        <is>
          <t>Journal of Finance; Review of Financial Studies; Journal of Financial Economics; Journal of Financial &amp; Quantitative Analysis</t>
        </is>
      </c>
    </row>
    <row r="208" ht="37.5" customHeight="1" s="91">
      <c r="A208" s="127" t="n">
        <v>6</v>
      </c>
      <c r="B208" s="127" t="inlineStr">
        <is>
          <t>Stanford GSB</t>
        </is>
      </c>
      <c r="C208" s="127" t="inlineStr">
        <is>
          <t>Finance</t>
        </is>
      </c>
      <c r="D208" s="127" t="inlineStr">
        <is>
          <t>Banking &amp; Financial Institutions</t>
        </is>
      </c>
      <c r="E208" s="127" t="n">
        <v>5</v>
      </c>
      <c r="F208" s="127" t="inlineStr">
        <is>
          <t>Journal of Finance; Review of Financial Studies; Journal of Financial Economics; Journal of Financial &amp; Quantitative Analysis</t>
        </is>
      </c>
    </row>
    <row r="209" ht="37.5" customHeight="1" s="91">
      <c r="A209" s="128" t="n">
        <v>6</v>
      </c>
      <c r="B209" s="128" t="inlineStr">
        <is>
          <t>Stanford GSB</t>
        </is>
      </c>
      <c r="C209" s="128" t="inlineStr">
        <is>
          <t>Finance</t>
        </is>
      </c>
      <c r="D209" s="128" t="inlineStr">
        <is>
          <t>International Finance</t>
        </is>
      </c>
      <c r="E209" s="128" t="n">
        <v>5</v>
      </c>
      <c r="F209" s="128" t="inlineStr">
        <is>
          <t>Journal of Finance; Review of Financial Studies; Journal of Financial Economics; Journal of Financial &amp; Quantitative Analysis</t>
        </is>
      </c>
    </row>
    <row r="210" ht="37.5" customHeight="1" s="91">
      <c r="A210" s="127" t="n">
        <v>6</v>
      </c>
      <c r="B210" s="127" t="inlineStr">
        <is>
          <t>Stanford GSB</t>
        </is>
      </c>
      <c r="C210" s="127" t="inlineStr">
        <is>
          <t>Marketing</t>
        </is>
      </c>
      <c r="D210" s="127" t="inlineStr">
        <is>
          <t>Consumer Behavior</t>
        </is>
      </c>
      <c r="E210" s="127" t="n">
        <v>4</v>
      </c>
      <c r="F210" s="127" t="inlineStr">
        <is>
          <t>Journal of Marketing Research; Journal of Marketing; Marketing Science; Journal of Consumer Research</t>
        </is>
      </c>
    </row>
    <row r="211" ht="37.5" customHeight="1" s="91">
      <c r="A211" s="128" t="n">
        <v>6</v>
      </c>
      <c r="B211" s="128" t="inlineStr">
        <is>
          <t>Stanford GSB</t>
        </is>
      </c>
      <c r="C211" s="128" t="inlineStr">
        <is>
          <t>Marketing</t>
        </is>
      </c>
      <c r="D211" s="128" t="inlineStr">
        <is>
          <t>Marketing Analytics</t>
        </is>
      </c>
      <c r="E211" s="128" t="n">
        <v>4</v>
      </c>
      <c r="F211" s="128" t="inlineStr">
        <is>
          <t>Journal of Marketing Research; Journal of Marketing; Marketing Science; Journal of Consumer Research</t>
        </is>
      </c>
    </row>
    <row r="212" ht="37.5" customHeight="1" s="91">
      <c r="A212" s="127" t="n">
        <v>6</v>
      </c>
      <c r="B212" s="127" t="inlineStr">
        <is>
          <t>Stanford GSB</t>
        </is>
      </c>
      <c r="C212" s="127" t="inlineStr">
        <is>
          <t>Marketing</t>
        </is>
      </c>
      <c r="D212" s="127" t="inlineStr">
        <is>
          <t>Digital Marketing</t>
        </is>
      </c>
      <c r="E212" s="127" t="n">
        <v>4</v>
      </c>
      <c r="F212" s="127" t="inlineStr">
        <is>
          <t>Journal of Marketing Research; Journal of Marketing; Marketing Science; Journal of Consumer Research</t>
        </is>
      </c>
    </row>
    <row r="213" ht="37.5" customHeight="1" s="91">
      <c r="A213" s="128" t="n">
        <v>6</v>
      </c>
      <c r="B213" s="128" t="inlineStr">
        <is>
          <t>Stanford GSB</t>
        </is>
      </c>
      <c r="C213" s="128" t="inlineStr">
        <is>
          <t>Marketing</t>
        </is>
      </c>
      <c r="D213" s="128" t="inlineStr">
        <is>
          <t>Brand Management</t>
        </is>
      </c>
      <c r="E213" s="128" t="n">
        <v>3</v>
      </c>
      <c r="F213" s="128" t="inlineStr">
        <is>
          <t>Journal of Marketing Research; Journal of Marketing; Marketing Science; Journal of Consumer Research</t>
        </is>
      </c>
    </row>
    <row r="214" ht="37.5" customHeight="1" s="91">
      <c r="A214" s="127" t="n">
        <v>6</v>
      </c>
      <c r="B214" s="127" t="inlineStr">
        <is>
          <t>Stanford GSB</t>
        </is>
      </c>
      <c r="C214" s="127" t="inlineStr">
        <is>
          <t>Operations, Information &amp; Technology</t>
        </is>
      </c>
      <c r="D214" s="127" t="inlineStr">
        <is>
          <t>Supply Chain Management</t>
        </is>
      </c>
      <c r="E214" s="127" t="n">
        <v>3</v>
      </c>
      <c r="F214" s="127" t="inlineStr">
        <is>
          <t>Management Science; Operations Research; Manufacturing &amp; Service Operations Management; Production &amp; Operations Management</t>
        </is>
      </c>
    </row>
    <row r="215" ht="37.5" customHeight="1" s="91">
      <c r="A215" s="128" t="n">
        <v>6</v>
      </c>
      <c r="B215" s="128" t="inlineStr">
        <is>
          <t>Stanford GSB</t>
        </is>
      </c>
      <c r="C215" s="128" t="inlineStr">
        <is>
          <t>Operations, Information &amp; Technology</t>
        </is>
      </c>
      <c r="D215" s="128" t="inlineStr">
        <is>
          <t>Operations Research</t>
        </is>
      </c>
      <c r="E215" s="128" t="n">
        <v>3</v>
      </c>
      <c r="F215" s="128" t="inlineStr">
        <is>
          <t>Management Science; Operations Research; Manufacturing &amp; Service Operations Management; Production &amp; Operations Management</t>
        </is>
      </c>
    </row>
    <row r="216" ht="37.5" customHeight="1" s="91">
      <c r="A216" s="127" t="n">
        <v>6</v>
      </c>
      <c r="B216" s="127" t="inlineStr">
        <is>
          <t>Stanford GSB</t>
        </is>
      </c>
      <c r="C216" s="127" t="inlineStr">
        <is>
          <t>Operations, Information &amp; Technology</t>
        </is>
      </c>
      <c r="D216" s="127" t="inlineStr">
        <is>
          <t>Process Optimization</t>
        </is>
      </c>
      <c r="E216" s="127" t="n">
        <v>3</v>
      </c>
      <c r="F216" s="127" t="inlineStr">
        <is>
          <t>Management Science; Operations Research; Manufacturing &amp; Service Operations Management; Production &amp; Operations Management</t>
        </is>
      </c>
    </row>
    <row r="217" ht="37.5" customHeight="1" s="91">
      <c r="A217" s="128" t="n">
        <v>6</v>
      </c>
      <c r="B217" s="128" t="inlineStr">
        <is>
          <t>Stanford GSB</t>
        </is>
      </c>
      <c r="C217" s="128" t="inlineStr">
        <is>
          <t>Operations, Information &amp; Technology</t>
        </is>
      </c>
      <c r="D217" s="128" t="inlineStr">
        <is>
          <t>Analytics</t>
        </is>
      </c>
      <c r="E217" s="128" t="n">
        <v>2</v>
      </c>
      <c r="F217" s="128" t="inlineStr">
        <is>
          <t>Management Science; Operations Research; Manufacturing &amp; Service Operations Management; Production &amp; Operations Management</t>
        </is>
      </c>
    </row>
    <row r="218" ht="37.5" customHeight="1" s="91">
      <c r="A218" s="127" t="n">
        <v>6</v>
      </c>
      <c r="B218" s="127" t="inlineStr">
        <is>
          <t>Stanford GSB</t>
        </is>
      </c>
      <c r="C218" s="127" t="inlineStr">
        <is>
          <t>Organizational Behavior</t>
        </is>
      </c>
      <c r="D218" s="127" t="inlineStr">
        <is>
          <t>Organizational Behavior</t>
        </is>
      </c>
      <c r="E218" s="127" t="n">
        <v>6</v>
      </c>
      <c r="F218" s="127" t="inlineStr">
        <is>
          <t>Academy of Management Journal; Organization Science; Administrative Science Quarterly; Journal of Applied Psychology</t>
        </is>
      </c>
    </row>
    <row r="219" ht="37.5" customHeight="1" s="91">
      <c r="A219" s="128" t="n">
        <v>6</v>
      </c>
      <c r="B219" s="128" t="inlineStr">
        <is>
          <t>Stanford GSB</t>
        </is>
      </c>
      <c r="C219" s="128" t="inlineStr">
        <is>
          <t>Organizational Behavior</t>
        </is>
      </c>
      <c r="D219" s="128" t="inlineStr">
        <is>
          <t>Human Resources</t>
        </is>
      </c>
      <c r="E219" s="128" t="n">
        <v>6</v>
      </c>
      <c r="F219" s="128" t="inlineStr">
        <is>
          <t>Academy of Management Journal; Organization Science; Administrative Science Quarterly; Journal of Applied Psychology</t>
        </is>
      </c>
    </row>
    <row r="220" ht="37.5" customHeight="1" s="91">
      <c r="A220" s="127" t="n">
        <v>6</v>
      </c>
      <c r="B220" s="127" t="inlineStr">
        <is>
          <t>Stanford GSB</t>
        </is>
      </c>
      <c r="C220" s="127" t="inlineStr">
        <is>
          <t>Organizational Behavior</t>
        </is>
      </c>
      <c r="D220" s="127" t="inlineStr">
        <is>
          <t>Leadership &amp; Teams</t>
        </is>
      </c>
      <c r="E220" s="127" t="n">
        <v>6</v>
      </c>
      <c r="F220" s="127" t="inlineStr">
        <is>
          <t>Academy of Management Journal; Organization Science; Administrative Science Quarterly; Journal of Applied Psychology</t>
        </is>
      </c>
    </row>
    <row r="221" ht="37.5" customHeight="1" s="91">
      <c r="A221" s="128" t="n">
        <v>6</v>
      </c>
      <c r="B221" s="128" t="inlineStr">
        <is>
          <t>Stanford GSB</t>
        </is>
      </c>
      <c r="C221" s="128" t="inlineStr">
        <is>
          <t>Organizational Behavior</t>
        </is>
      </c>
      <c r="D221" s="128" t="inlineStr">
        <is>
          <t>Diversity &amp; Inclusion</t>
        </is>
      </c>
      <c r="E221" s="128" t="n">
        <v>5</v>
      </c>
      <c r="F221" s="128" t="inlineStr">
        <is>
          <t>Academy of Management Journal; Organization Science; Administrative Science Quarterly; Journal of Applied Psychology</t>
        </is>
      </c>
    </row>
    <row r="222" ht="37.5" customHeight="1" s="91">
      <c r="A222" s="127" t="n">
        <v>6</v>
      </c>
      <c r="B222" s="127" t="inlineStr">
        <is>
          <t>Stanford GSB</t>
        </is>
      </c>
      <c r="C222" s="127" t="inlineStr">
        <is>
          <t>Political Economy</t>
        </is>
      </c>
      <c r="D222" s="127" t="inlineStr">
        <is>
          <t>Theory</t>
        </is>
      </c>
      <c r="E222" s="127" t="n">
        <v>3</v>
      </c>
      <c r="F222" s="127" t="inlineStr">
        <is>
          <t>Management Science; Academy of Management Journal; Journal of Business Research; Strategic Management Journal</t>
        </is>
      </c>
    </row>
    <row r="223" ht="37.5" customHeight="1" s="91">
      <c r="A223" s="128" t="n">
        <v>6</v>
      </c>
      <c r="B223" s="128" t="inlineStr">
        <is>
          <t>Stanford GSB</t>
        </is>
      </c>
      <c r="C223" s="128" t="inlineStr">
        <is>
          <t>Political Economy</t>
        </is>
      </c>
      <c r="D223" s="128" t="inlineStr">
        <is>
          <t>Empirical Research</t>
        </is>
      </c>
      <c r="E223" s="128" t="n">
        <v>3</v>
      </c>
      <c r="F223" s="128" t="inlineStr">
        <is>
          <t>Management Science; Academy of Management Journal; Journal of Business Research; Strategic Management Journal</t>
        </is>
      </c>
    </row>
    <row r="224" ht="37.5" customHeight="1" s="91">
      <c r="A224" s="127" t="n">
        <v>6</v>
      </c>
      <c r="B224" s="127" t="inlineStr">
        <is>
          <t>Stanford GSB</t>
        </is>
      </c>
      <c r="C224" s="127" t="inlineStr">
        <is>
          <t>Political Economy</t>
        </is>
      </c>
      <c r="D224" s="127" t="inlineStr">
        <is>
          <t>Applied Research</t>
        </is>
      </c>
      <c r="E224" s="127" t="n">
        <v>3</v>
      </c>
      <c r="F224" s="127" t="inlineStr">
        <is>
          <t>Management Science; Academy of Management Journal; Journal of Business Research; Strategic Management Journal</t>
        </is>
      </c>
    </row>
    <row r="225" ht="37.5" customHeight="1" s="91">
      <c r="A225" s="128" t="n">
        <v>6</v>
      </c>
      <c r="B225" s="128" t="inlineStr">
        <is>
          <t>Stanford GSB</t>
        </is>
      </c>
      <c r="C225" s="128" t="inlineStr">
        <is>
          <t>Political Economy</t>
        </is>
      </c>
      <c r="D225" s="128" t="inlineStr">
        <is>
          <t>Policy</t>
        </is>
      </c>
      <c r="E225" s="128" t="n">
        <v>2</v>
      </c>
      <c r="F225" s="128" t="inlineStr">
        <is>
          <t>Management Science; Academy of Management Journal; Journal of Business Research; Strategic Management Journal</t>
        </is>
      </c>
    </row>
    <row r="226" ht="37.5" customHeight="1" s="91">
      <c r="A226" s="127" t="n">
        <v>7</v>
      </c>
      <c r="B226" s="127" t="inlineStr">
        <is>
          <t>Columbia CBS</t>
        </is>
      </c>
      <c r="C226" s="127" t="inlineStr">
        <is>
          <t>Accounting</t>
        </is>
      </c>
      <c r="D226" s="127" t="inlineStr">
        <is>
          <t>Financial Accounting</t>
        </is>
      </c>
      <c r="E226" s="127" t="n">
        <v>3</v>
      </c>
      <c r="F226" s="127" t="inlineStr">
        <is>
          <t>The Accounting Review; Journal of Accounting Research; Journal of Accounting &amp; Economics; Review of Accounting Studies</t>
        </is>
      </c>
    </row>
    <row r="227" ht="37.5" customHeight="1" s="91">
      <c r="A227" s="128" t="n">
        <v>7</v>
      </c>
      <c r="B227" s="128" t="inlineStr">
        <is>
          <t>Columbia CBS</t>
        </is>
      </c>
      <c r="C227" s="128" t="inlineStr">
        <is>
          <t>Accounting</t>
        </is>
      </c>
      <c r="D227" s="128" t="inlineStr">
        <is>
          <t>Managerial Accounting</t>
        </is>
      </c>
      <c r="E227" s="128" t="n">
        <v>3</v>
      </c>
      <c r="F227" s="128" t="inlineStr">
        <is>
          <t>The Accounting Review; Journal of Accounting Research; Journal of Accounting &amp; Economics; Review of Accounting Studies</t>
        </is>
      </c>
    </row>
    <row r="228" ht="37.5" customHeight="1" s="91">
      <c r="A228" s="127" t="n">
        <v>7</v>
      </c>
      <c r="B228" s="127" t="inlineStr">
        <is>
          <t>Columbia CBS</t>
        </is>
      </c>
      <c r="C228" s="127" t="inlineStr">
        <is>
          <t>Accounting</t>
        </is>
      </c>
      <c r="D228" s="127" t="inlineStr">
        <is>
          <t>Auditing &amp; Assurance</t>
        </is>
      </c>
      <c r="E228" s="127" t="n">
        <v>3</v>
      </c>
      <c r="F228" s="127" t="inlineStr">
        <is>
          <t>The Accounting Review; Journal of Accounting Research; Journal of Accounting &amp; Economics; Review of Accounting Studies</t>
        </is>
      </c>
    </row>
    <row r="229" ht="37.5" customHeight="1" s="91">
      <c r="A229" s="128" t="n">
        <v>7</v>
      </c>
      <c r="B229" s="128" t="inlineStr">
        <is>
          <t>Columbia CBS</t>
        </is>
      </c>
      <c r="C229" s="128" t="inlineStr">
        <is>
          <t>Accounting</t>
        </is>
      </c>
      <c r="D229" s="128" t="inlineStr">
        <is>
          <t>Tax</t>
        </is>
      </c>
      <c r="E229" s="128" t="n">
        <v>2</v>
      </c>
      <c r="F229" s="128" t="inlineStr">
        <is>
          <t>The Accounting Review; Journal of Accounting Research; Journal of Accounting &amp; Economics; Review of Accounting Studies</t>
        </is>
      </c>
    </row>
    <row r="230" ht="37.5" customHeight="1" s="91">
      <c r="A230" s="127" t="n">
        <v>7</v>
      </c>
      <c r="B230" s="127" t="inlineStr">
        <is>
          <t>Columbia CBS</t>
        </is>
      </c>
      <c r="C230" s="127" t="inlineStr">
        <is>
          <t>Decision, Risk &amp; Operations</t>
        </is>
      </c>
      <c r="D230" s="127" t="inlineStr">
        <is>
          <t>Supply Chain Management</t>
        </is>
      </c>
      <c r="E230" s="127" t="n">
        <v>5</v>
      </c>
      <c r="F230" s="127" t="inlineStr">
        <is>
          <t>Management Science; Operations Research; Manufacturing &amp; Service Operations Management; Production &amp; Operations Management</t>
        </is>
      </c>
    </row>
    <row r="231" ht="37.5" customHeight="1" s="91">
      <c r="A231" s="128" t="n">
        <v>7</v>
      </c>
      <c r="B231" s="128" t="inlineStr">
        <is>
          <t>Columbia CBS</t>
        </is>
      </c>
      <c r="C231" s="128" t="inlineStr">
        <is>
          <t>Decision, Risk &amp; Operations</t>
        </is>
      </c>
      <c r="D231" s="128" t="inlineStr">
        <is>
          <t>Operations Research</t>
        </is>
      </c>
      <c r="E231" s="128" t="n">
        <v>4</v>
      </c>
      <c r="F231" s="128" t="inlineStr">
        <is>
          <t>Management Science; Operations Research; Manufacturing &amp; Service Operations Management; Production &amp; Operations Management</t>
        </is>
      </c>
    </row>
    <row r="232" ht="37.5" customHeight="1" s="91">
      <c r="A232" s="127" t="n">
        <v>7</v>
      </c>
      <c r="B232" s="127" t="inlineStr">
        <is>
          <t>Columbia CBS</t>
        </is>
      </c>
      <c r="C232" s="127" t="inlineStr">
        <is>
          <t>Decision, Risk &amp; Operations</t>
        </is>
      </c>
      <c r="D232" s="127" t="inlineStr">
        <is>
          <t>Process Optimization</t>
        </is>
      </c>
      <c r="E232" s="127" t="n">
        <v>4</v>
      </c>
      <c r="F232" s="127" t="inlineStr">
        <is>
          <t>Management Science; Operations Research; Manufacturing &amp; Service Operations Management; Production &amp; Operations Management</t>
        </is>
      </c>
    </row>
    <row r="233" ht="37.5" customHeight="1" s="91">
      <c r="A233" s="128" t="n">
        <v>7</v>
      </c>
      <c r="B233" s="128" t="inlineStr">
        <is>
          <t>Columbia CBS</t>
        </is>
      </c>
      <c r="C233" s="128" t="inlineStr">
        <is>
          <t>Decision, Risk &amp; Operations</t>
        </is>
      </c>
      <c r="D233" s="128" t="inlineStr">
        <is>
          <t>Analytics</t>
        </is>
      </c>
      <c r="E233" s="128" t="n">
        <v>4</v>
      </c>
      <c r="F233" s="128" t="inlineStr">
        <is>
          <t>Management Science; Operations Research; Manufacturing &amp; Service Operations Management; Production &amp; Operations Management</t>
        </is>
      </c>
    </row>
    <row r="234" ht="37.5" customHeight="1" s="91">
      <c r="A234" s="127" t="n">
        <v>7</v>
      </c>
      <c r="B234" s="127" t="inlineStr">
        <is>
          <t>Columbia CBS</t>
        </is>
      </c>
      <c r="C234" s="127" t="inlineStr">
        <is>
          <t>Economics</t>
        </is>
      </c>
      <c r="D234" s="127" t="inlineStr">
        <is>
          <t>Microeconomics</t>
        </is>
      </c>
      <c r="E234" s="127" t="n">
        <v>6</v>
      </c>
      <c r="F234" s="127" t="inlineStr">
        <is>
          <t>American Economic Review; Econometrica; Quarterly Journal of Economics; Review of Economic Studies</t>
        </is>
      </c>
    </row>
    <row r="235" ht="37.5" customHeight="1" s="91">
      <c r="A235" s="128" t="n">
        <v>7</v>
      </c>
      <c r="B235" s="128" t="inlineStr">
        <is>
          <t>Columbia CBS</t>
        </is>
      </c>
      <c r="C235" s="128" t="inlineStr">
        <is>
          <t>Economics</t>
        </is>
      </c>
      <c r="D235" s="128" t="inlineStr">
        <is>
          <t>Macroeconomics</t>
        </is>
      </c>
      <c r="E235" s="128" t="n">
        <v>5</v>
      </c>
      <c r="F235" s="128" t="inlineStr">
        <is>
          <t>American Economic Review; Econometrica; Quarterly Journal of Economics; Review of Economic Studies</t>
        </is>
      </c>
    </row>
    <row r="236" ht="37.5" customHeight="1" s="91">
      <c r="A236" s="127" t="n">
        <v>7</v>
      </c>
      <c r="B236" s="127" t="inlineStr">
        <is>
          <t>Columbia CBS</t>
        </is>
      </c>
      <c r="C236" s="127" t="inlineStr">
        <is>
          <t>Economics</t>
        </is>
      </c>
      <c r="D236" s="127" t="inlineStr">
        <is>
          <t>Applied Economics</t>
        </is>
      </c>
      <c r="E236" s="127" t="n">
        <v>5</v>
      </c>
      <c r="F236" s="127" t="inlineStr">
        <is>
          <t>American Economic Review; Econometrica; Quarterly Journal of Economics; Review of Economic Studies</t>
        </is>
      </c>
    </row>
    <row r="237" ht="37.5" customHeight="1" s="91">
      <c r="A237" s="128" t="n">
        <v>7</v>
      </c>
      <c r="B237" s="128" t="inlineStr">
        <is>
          <t>Columbia CBS</t>
        </is>
      </c>
      <c r="C237" s="128" t="inlineStr">
        <is>
          <t>Economics</t>
        </is>
      </c>
      <c r="D237" s="128" t="inlineStr">
        <is>
          <t>Industrial Organization</t>
        </is>
      </c>
      <c r="E237" s="128" t="n">
        <v>5</v>
      </c>
      <c r="F237" s="128" t="inlineStr">
        <is>
          <t>American Economic Review; Econometrica; Quarterly Journal of Economics; Review of Economic Studies</t>
        </is>
      </c>
    </row>
    <row r="238" ht="37.5" customHeight="1" s="91">
      <c r="A238" s="127" t="n">
        <v>7</v>
      </c>
      <c r="B238" s="127" t="inlineStr">
        <is>
          <t>Columbia CBS</t>
        </is>
      </c>
      <c r="C238" s="127" t="inlineStr">
        <is>
          <t>Finance</t>
        </is>
      </c>
      <c r="D238" s="127" t="inlineStr">
        <is>
          <t>Corporate Finance</t>
        </is>
      </c>
      <c r="E238" s="127" t="n">
        <v>6</v>
      </c>
      <c r="F238" s="127" t="inlineStr">
        <is>
          <t>Journal of Finance; Review of Financial Studies; Journal of Financial Economics; Journal of Financial &amp; Quantitative Analysis</t>
        </is>
      </c>
    </row>
    <row r="239" ht="37.5" customHeight="1" s="91">
      <c r="A239" s="128" t="n">
        <v>7</v>
      </c>
      <c r="B239" s="128" t="inlineStr">
        <is>
          <t>Columbia CBS</t>
        </is>
      </c>
      <c r="C239" s="128" t="inlineStr">
        <is>
          <t>Finance</t>
        </is>
      </c>
      <c r="D239" s="128" t="inlineStr">
        <is>
          <t>Asset Pricing</t>
        </is>
      </c>
      <c r="E239" s="128" t="n">
        <v>6</v>
      </c>
      <c r="F239" s="128" t="inlineStr">
        <is>
          <t>Journal of Finance; Review of Financial Studies; Journal of Financial Economics; Journal of Financial &amp; Quantitative Analysis</t>
        </is>
      </c>
    </row>
    <row r="240" ht="37.5" customHeight="1" s="91">
      <c r="A240" s="127" t="n">
        <v>7</v>
      </c>
      <c r="B240" s="127" t="inlineStr">
        <is>
          <t>Columbia CBS</t>
        </is>
      </c>
      <c r="C240" s="127" t="inlineStr">
        <is>
          <t>Finance</t>
        </is>
      </c>
      <c r="D240" s="127" t="inlineStr">
        <is>
          <t>Banking &amp; Financial Institutions</t>
        </is>
      </c>
      <c r="E240" s="127" t="n">
        <v>6</v>
      </c>
      <c r="F240" s="127" t="inlineStr">
        <is>
          <t>Journal of Finance; Review of Financial Studies; Journal of Financial Economics; Journal of Financial &amp; Quantitative Analysis</t>
        </is>
      </c>
    </row>
    <row r="241" ht="37.5" customHeight="1" s="91">
      <c r="A241" s="128" t="n">
        <v>7</v>
      </c>
      <c r="B241" s="128" t="inlineStr">
        <is>
          <t>Columbia CBS</t>
        </is>
      </c>
      <c r="C241" s="128" t="inlineStr">
        <is>
          <t>Finance</t>
        </is>
      </c>
      <c r="D241" s="128" t="inlineStr">
        <is>
          <t>International Finance</t>
        </is>
      </c>
      <c r="E241" s="128" t="n">
        <v>6</v>
      </c>
      <c r="F241" s="128" t="inlineStr">
        <is>
          <t>Journal of Finance; Review of Financial Studies; Journal of Financial Economics; Journal of Financial &amp; Quantitative Analysis</t>
        </is>
      </c>
    </row>
    <row r="242" ht="37.5" customHeight="1" s="91">
      <c r="A242" s="127" t="n">
        <v>7</v>
      </c>
      <c r="B242" s="127" t="inlineStr">
        <is>
          <t>Columbia CBS</t>
        </is>
      </c>
      <c r="C242" s="127" t="inlineStr">
        <is>
          <t>Management</t>
        </is>
      </c>
      <c r="D242" s="127" t="inlineStr">
        <is>
          <t>Strategic Management</t>
        </is>
      </c>
      <c r="E242" s="127" t="n">
        <v>8</v>
      </c>
      <c r="F242" s="127" t="inlineStr">
        <is>
          <t>Academy of Management Review; Academy of Management Journal; Administrative Science Quarterly; Strategic Management Journal</t>
        </is>
      </c>
    </row>
    <row r="243" ht="37.5" customHeight="1" s="91">
      <c r="A243" s="128" t="n">
        <v>7</v>
      </c>
      <c r="B243" s="128" t="inlineStr">
        <is>
          <t>Columbia CBS</t>
        </is>
      </c>
      <c r="C243" s="128" t="inlineStr">
        <is>
          <t>Management</t>
        </is>
      </c>
      <c r="D243" s="128" t="inlineStr">
        <is>
          <t>Organizational Theory</t>
        </is>
      </c>
      <c r="E243" s="128" t="n">
        <v>7</v>
      </c>
      <c r="F243" s="128" t="inlineStr">
        <is>
          <t>Academy of Management Review; Academy of Management Journal; Administrative Science Quarterly; Strategic Management Journal</t>
        </is>
      </c>
    </row>
    <row r="244" ht="37.5" customHeight="1" s="91">
      <c r="A244" s="127" t="n">
        <v>7</v>
      </c>
      <c r="B244" s="127" t="inlineStr">
        <is>
          <t>Columbia CBS</t>
        </is>
      </c>
      <c r="C244" s="127" t="inlineStr">
        <is>
          <t>Management</t>
        </is>
      </c>
      <c r="D244" s="127" t="inlineStr">
        <is>
          <t>Leadership</t>
        </is>
      </c>
      <c r="E244" s="127" t="n">
        <v>7</v>
      </c>
      <c r="F244" s="127" t="inlineStr">
        <is>
          <t>Academy of Management Review; Academy of Management Journal; Administrative Science Quarterly; Strategic Management Journal</t>
        </is>
      </c>
    </row>
    <row r="245" ht="37.5" customHeight="1" s="91">
      <c r="A245" s="128" t="n">
        <v>7</v>
      </c>
      <c r="B245" s="128" t="inlineStr">
        <is>
          <t>Columbia CBS</t>
        </is>
      </c>
      <c r="C245" s="128" t="inlineStr">
        <is>
          <t>Management</t>
        </is>
      </c>
      <c r="D245" s="128" t="inlineStr">
        <is>
          <t>Entrepreneurship</t>
        </is>
      </c>
      <c r="E245" s="128" t="n">
        <v>7</v>
      </c>
      <c r="F245" s="128" t="inlineStr">
        <is>
          <t>Academy of Management Review; Academy of Management Journal; Administrative Science Quarterly; Strategic Management Journal</t>
        </is>
      </c>
    </row>
    <row r="246" ht="37.5" customHeight="1" s="91">
      <c r="A246" s="127" t="n">
        <v>7</v>
      </c>
      <c r="B246" s="127" t="inlineStr">
        <is>
          <t>Columbia CBS</t>
        </is>
      </c>
      <c r="C246" s="127" t="inlineStr">
        <is>
          <t>Marketing</t>
        </is>
      </c>
      <c r="D246" s="127" t="inlineStr">
        <is>
          <t>Consumer Behavior</t>
        </is>
      </c>
      <c r="E246" s="127" t="n">
        <v>6</v>
      </c>
      <c r="F246" s="127" t="inlineStr">
        <is>
          <t>Journal of Marketing Research; Journal of Marketing; Marketing Science; Journal of Consumer Research</t>
        </is>
      </c>
    </row>
    <row r="247" ht="37.5" customHeight="1" s="91">
      <c r="A247" s="128" t="n">
        <v>7</v>
      </c>
      <c r="B247" s="128" t="inlineStr">
        <is>
          <t>Columbia CBS</t>
        </is>
      </c>
      <c r="C247" s="128" t="inlineStr">
        <is>
          <t>Marketing</t>
        </is>
      </c>
      <c r="D247" s="128" t="inlineStr">
        <is>
          <t>Marketing Analytics</t>
        </is>
      </c>
      <c r="E247" s="128" t="n">
        <v>5</v>
      </c>
      <c r="F247" s="128" t="inlineStr">
        <is>
          <t>Journal of Marketing Research; Journal of Marketing; Marketing Science; Journal of Consumer Research</t>
        </is>
      </c>
    </row>
    <row r="248" ht="37.5" customHeight="1" s="91">
      <c r="A248" s="127" t="n">
        <v>7</v>
      </c>
      <c r="B248" s="127" t="inlineStr">
        <is>
          <t>Columbia CBS</t>
        </is>
      </c>
      <c r="C248" s="127" t="inlineStr">
        <is>
          <t>Marketing</t>
        </is>
      </c>
      <c r="D248" s="127" t="inlineStr">
        <is>
          <t>Digital Marketing</t>
        </is>
      </c>
      <c r="E248" s="127" t="n">
        <v>5</v>
      </c>
      <c r="F248" s="127" t="inlineStr">
        <is>
          <t>Journal of Marketing Research; Journal of Marketing; Marketing Science; Journal of Consumer Research</t>
        </is>
      </c>
    </row>
    <row r="249" ht="37.5" customHeight="1" s="91">
      <c r="A249" s="128" t="n">
        <v>7</v>
      </c>
      <c r="B249" s="128" t="inlineStr">
        <is>
          <t>Columbia CBS</t>
        </is>
      </c>
      <c r="C249" s="128" t="inlineStr">
        <is>
          <t>Marketing</t>
        </is>
      </c>
      <c r="D249" s="128" t="inlineStr">
        <is>
          <t>Brand Management</t>
        </is>
      </c>
      <c r="E249" s="128" t="n">
        <v>5</v>
      </c>
      <c r="F249" s="128" t="inlineStr">
        <is>
          <t>Journal of Marketing Research; Journal of Marketing; Marketing Science; Journal of Consumer Research</t>
        </is>
      </c>
    </row>
    <row r="250" ht="37.5" customHeight="1" s="91">
      <c r="A250" s="127" t="n">
        <v>8</v>
      </c>
      <c r="B250" s="127" t="inlineStr">
        <is>
          <t>NYU Stern</t>
        </is>
      </c>
      <c r="C250" s="127" t="inlineStr">
        <is>
          <t>Accounting</t>
        </is>
      </c>
      <c r="D250" s="127" t="inlineStr">
        <is>
          <t>Financial Accounting</t>
        </is>
      </c>
      <c r="E250" s="127" t="n">
        <v>5</v>
      </c>
      <c r="F250" s="127" t="inlineStr">
        <is>
          <t>The Accounting Review; Journal of Accounting Research; Journal of Accounting &amp; Economics; Review of Accounting Studies</t>
        </is>
      </c>
    </row>
    <row r="251" ht="37.5" customHeight="1" s="91">
      <c r="A251" s="128" t="n">
        <v>8</v>
      </c>
      <c r="B251" s="128" t="inlineStr">
        <is>
          <t>NYU Stern</t>
        </is>
      </c>
      <c r="C251" s="128" t="inlineStr">
        <is>
          <t>Accounting</t>
        </is>
      </c>
      <c r="D251" s="128" t="inlineStr">
        <is>
          <t>Managerial Accounting</t>
        </is>
      </c>
      <c r="E251" s="128" t="n">
        <v>5</v>
      </c>
      <c r="F251" s="128" t="inlineStr">
        <is>
          <t>The Accounting Review; Journal of Accounting Research; Journal of Accounting &amp; Economics; Review of Accounting Studies</t>
        </is>
      </c>
    </row>
    <row r="252" ht="37.5" customHeight="1" s="91">
      <c r="A252" s="127" t="n">
        <v>8</v>
      </c>
      <c r="B252" s="127" t="inlineStr">
        <is>
          <t>NYU Stern</t>
        </is>
      </c>
      <c r="C252" s="127" t="inlineStr">
        <is>
          <t>Accounting</t>
        </is>
      </c>
      <c r="D252" s="127" t="inlineStr">
        <is>
          <t>Auditing &amp; Assurance</t>
        </is>
      </c>
      <c r="E252" s="127" t="n">
        <v>5</v>
      </c>
      <c r="F252" s="127" t="inlineStr">
        <is>
          <t>The Accounting Review; Journal of Accounting Research; Journal of Accounting &amp; Economics; Review of Accounting Studies</t>
        </is>
      </c>
    </row>
    <row r="253" ht="37.5" customHeight="1" s="91">
      <c r="A253" s="128" t="n">
        <v>8</v>
      </c>
      <c r="B253" s="128" t="inlineStr">
        <is>
          <t>NYU Stern</t>
        </is>
      </c>
      <c r="C253" s="128" t="inlineStr">
        <is>
          <t>Accounting</t>
        </is>
      </c>
      <c r="D253" s="128" t="inlineStr">
        <is>
          <t>Tax</t>
        </is>
      </c>
      <c r="E253" s="128" t="n">
        <v>5</v>
      </c>
      <c r="F253" s="128" t="inlineStr">
        <is>
          <t>The Accounting Review; Journal of Accounting Research; Journal of Accounting &amp; Economics; Review of Accounting Studies</t>
        </is>
      </c>
    </row>
    <row r="254" ht="37.5" customHeight="1" s="91">
      <c r="A254" s="127" t="n">
        <v>8</v>
      </c>
      <c r="B254" s="127" t="inlineStr">
        <is>
          <t>NYU Stern</t>
        </is>
      </c>
      <c r="C254" s="127" t="inlineStr">
        <is>
          <t>Economics</t>
        </is>
      </c>
      <c r="D254" s="127" t="inlineStr">
        <is>
          <t>Microeconomics</t>
        </is>
      </c>
      <c r="E254" s="127" t="n">
        <v>5</v>
      </c>
      <c r="F254" s="127" t="inlineStr">
        <is>
          <t>American Economic Review; Econometrica; Quarterly Journal of Economics; Review of Economic Studies</t>
        </is>
      </c>
    </row>
    <row r="255" ht="37.5" customHeight="1" s="91">
      <c r="A255" s="128" t="n">
        <v>8</v>
      </c>
      <c r="B255" s="128" t="inlineStr">
        <is>
          <t>NYU Stern</t>
        </is>
      </c>
      <c r="C255" s="128" t="inlineStr">
        <is>
          <t>Economics</t>
        </is>
      </c>
      <c r="D255" s="128" t="inlineStr">
        <is>
          <t>Macroeconomics</t>
        </is>
      </c>
      <c r="E255" s="128" t="n">
        <v>5</v>
      </c>
      <c r="F255" s="128" t="inlineStr">
        <is>
          <t>American Economic Review; Econometrica; Quarterly Journal of Economics; Review of Economic Studies</t>
        </is>
      </c>
    </row>
    <row r="256" ht="37.5" customHeight="1" s="91">
      <c r="A256" s="127" t="n">
        <v>8</v>
      </c>
      <c r="B256" s="127" t="inlineStr">
        <is>
          <t>NYU Stern</t>
        </is>
      </c>
      <c r="C256" s="127" t="inlineStr">
        <is>
          <t>Economics</t>
        </is>
      </c>
      <c r="D256" s="127" t="inlineStr">
        <is>
          <t>Applied Economics</t>
        </is>
      </c>
      <c r="E256" s="127" t="n">
        <v>5</v>
      </c>
      <c r="F256" s="127" t="inlineStr">
        <is>
          <t>American Economic Review; Econometrica; Quarterly Journal of Economics; Review of Economic Studies</t>
        </is>
      </c>
    </row>
    <row r="257" ht="37.5" customHeight="1" s="91">
      <c r="A257" s="128" t="n">
        <v>8</v>
      </c>
      <c r="B257" s="128" t="inlineStr">
        <is>
          <t>NYU Stern</t>
        </is>
      </c>
      <c r="C257" s="128" t="inlineStr">
        <is>
          <t>Economics</t>
        </is>
      </c>
      <c r="D257" s="128" t="inlineStr">
        <is>
          <t>Industrial Organization</t>
        </is>
      </c>
      <c r="E257" s="128" t="n">
        <v>5</v>
      </c>
      <c r="F257" s="128" t="inlineStr">
        <is>
          <t>American Economic Review; Econometrica; Quarterly Journal of Economics; Review of Economic Studies</t>
        </is>
      </c>
    </row>
    <row r="258" ht="37.5" customHeight="1" s="91">
      <c r="A258" s="127" t="n">
        <v>8</v>
      </c>
      <c r="B258" s="127" t="inlineStr">
        <is>
          <t>NYU Stern</t>
        </is>
      </c>
      <c r="C258" s="127" t="inlineStr">
        <is>
          <t>Finance</t>
        </is>
      </c>
      <c r="D258" s="127" t="inlineStr">
        <is>
          <t>Corporate Finance</t>
        </is>
      </c>
      <c r="E258" s="127" t="n">
        <v>7</v>
      </c>
      <c r="F258" s="127" t="inlineStr">
        <is>
          <t>Journal of Finance; Review of Financial Studies; Journal of Financial Economics; Journal of Financial &amp; Quantitative Analysis</t>
        </is>
      </c>
    </row>
    <row r="259" ht="37.5" customHeight="1" s="91">
      <c r="A259" s="128" t="n">
        <v>8</v>
      </c>
      <c r="B259" s="128" t="inlineStr">
        <is>
          <t>NYU Stern</t>
        </is>
      </c>
      <c r="C259" s="128" t="inlineStr">
        <is>
          <t>Finance</t>
        </is>
      </c>
      <c r="D259" s="128" t="inlineStr">
        <is>
          <t>Asset Pricing</t>
        </is>
      </c>
      <c r="E259" s="128" t="n">
        <v>6</v>
      </c>
      <c r="F259" s="128" t="inlineStr">
        <is>
          <t>Journal of Finance; Review of Financial Studies; Journal of Financial Economics; Journal of Financial &amp; Quantitative Analysis</t>
        </is>
      </c>
    </row>
    <row r="260" ht="37.5" customHeight="1" s="91">
      <c r="A260" s="127" t="n">
        <v>8</v>
      </c>
      <c r="B260" s="127" t="inlineStr">
        <is>
          <t>NYU Stern</t>
        </is>
      </c>
      <c r="C260" s="127" t="inlineStr">
        <is>
          <t>Finance</t>
        </is>
      </c>
      <c r="D260" s="127" t="inlineStr">
        <is>
          <t>Banking &amp; Financial Institutions</t>
        </is>
      </c>
      <c r="E260" s="127" t="n">
        <v>6</v>
      </c>
      <c r="F260" s="127" t="inlineStr">
        <is>
          <t>Journal of Finance; Review of Financial Studies; Journal of Financial Economics; Journal of Financial &amp; Quantitative Analysis</t>
        </is>
      </c>
    </row>
    <row r="261" ht="37.5" customHeight="1" s="91">
      <c r="A261" s="128" t="n">
        <v>8</v>
      </c>
      <c r="B261" s="128" t="inlineStr">
        <is>
          <t>NYU Stern</t>
        </is>
      </c>
      <c r="C261" s="128" t="inlineStr">
        <is>
          <t>Finance</t>
        </is>
      </c>
      <c r="D261" s="128" t="inlineStr">
        <is>
          <t>International Finance</t>
        </is>
      </c>
      <c r="E261" s="128" t="n">
        <v>6</v>
      </c>
      <c r="F261" s="128" t="inlineStr">
        <is>
          <t>Journal of Finance; Review of Financial Studies; Journal of Financial Economics; Journal of Financial &amp; Quantitative Analysis</t>
        </is>
      </c>
    </row>
    <row r="262" ht="37.5" customHeight="1" s="91">
      <c r="A262" s="127" t="n">
        <v>8</v>
      </c>
      <c r="B262" s="127" t="inlineStr">
        <is>
          <t>NYU Stern</t>
        </is>
      </c>
      <c r="C262" s="127" t="inlineStr">
        <is>
          <t>Management &amp; Organizations</t>
        </is>
      </c>
      <c r="D262" s="127" t="inlineStr">
        <is>
          <t>Organizational Behavior</t>
        </is>
      </c>
      <c r="E262" s="127" t="n">
        <v>6</v>
      </c>
      <c r="F262" s="127" t="inlineStr">
        <is>
          <t>Academy of Management Journal; Organization Science; Administrative Science Quarterly; Journal of Applied Psychology</t>
        </is>
      </c>
    </row>
    <row r="263" ht="37.5" customHeight="1" s="91">
      <c r="A263" s="128" t="n">
        <v>8</v>
      </c>
      <c r="B263" s="128" t="inlineStr">
        <is>
          <t>NYU Stern</t>
        </is>
      </c>
      <c r="C263" s="128" t="inlineStr">
        <is>
          <t>Management &amp; Organizations</t>
        </is>
      </c>
      <c r="D263" s="128" t="inlineStr">
        <is>
          <t>Human Resources</t>
        </is>
      </c>
      <c r="E263" s="128" t="n">
        <v>5</v>
      </c>
      <c r="F263" s="128" t="inlineStr">
        <is>
          <t>Academy of Management Journal; Organization Science; Administrative Science Quarterly; Journal of Applied Psychology</t>
        </is>
      </c>
    </row>
    <row r="264" ht="37.5" customHeight="1" s="91">
      <c r="A264" s="127" t="n">
        <v>8</v>
      </c>
      <c r="B264" s="127" t="inlineStr">
        <is>
          <t>NYU Stern</t>
        </is>
      </c>
      <c r="C264" s="127" t="inlineStr">
        <is>
          <t>Management &amp; Organizations</t>
        </is>
      </c>
      <c r="D264" s="127" t="inlineStr">
        <is>
          <t>Leadership &amp; Teams</t>
        </is>
      </c>
      <c r="E264" s="127" t="n">
        <v>5</v>
      </c>
      <c r="F264" s="127" t="inlineStr">
        <is>
          <t>Academy of Management Journal; Organization Science; Administrative Science Quarterly; Journal of Applied Psychology</t>
        </is>
      </c>
    </row>
    <row r="265" ht="37.5" customHeight="1" s="91">
      <c r="A265" s="128" t="n">
        <v>8</v>
      </c>
      <c r="B265" s="128" t="inlineStr">
        <is>
          <t>NYU Stern</t>
        </is>
      </c>
      <c r="C265" s="128" t="inlineStr">
        <is>
          <t>Management &amp; Organizations</t>
        </is>
      </c>
      <c r="D265" s="128" t="inlineStr">
        <is>
          <t>Diversity &amp; Inclusion</t>
        </is>
      </c>
      <c r="E265" s="128" t="n">
        <v>5</v>
      </c>
      <c r="F265" s="128" t="inlineStr">
        <is>
          <t>Academy of Management Journal; Organization Science; Administrative Science Quarterly; Journal of Applied Psychology</t>
        </is>
      </c>
    </row>
    <row r="266" ht="37.5" customHeight="1" s="91">
      <c r="A266" s="127" t="n">
        <v>8</v>
      </c>
      <c r="B266" s="127" t="inlineStr">
        <is>
          <t>NYU Stern</t>
        </is>
      </c>
      <c r="C266" s="127" t="inlineStr">
        <is>
          <t>Marketing</t>
        </is>
      </c>
      <c r="D266" s="127" t="inlineStr">
        <is>
          <t>Consumer Behavior</t>
        </is>
      </c>
      <c r="E266" s="127" t="n">
        <v>6</v>
      </c>
      <c r="F266" s="127" t="inlineStr">
        <is>
          <t>Journal of Marketing Research; Journal of Marketing; Marketing Science; Journal of Consumer Research</t>
        </is>
      </c>
    </row>
    <row r="267" ht="37.5" customHeight="1" s="91">
      <c r="A267" s="128" t="n">
        <v>8</v>
      </c>
      <c r="B267" s="128" t="inlineStr">
        <is>
          <t>NYU Stern</t>
        </is>
      </c>
      <c r="C267" s="128" t="inlineStr">
        <is>
          <t>Marketing</t>
        </is>
      </c>
      <c r="D267" s="128" t="inlineStr">
        <is>
          <t>Marketing Analytics</t>
        </is>
      </c>
      <c r="E267" s="128" t="n">
        <v>6</v>
      </c>
      <c r="F267" s="128" t="inlineStr">
        <is>
          <t>Journal of Marketing Research; Journal of Marketing; Marketing Science; Journal of Consumer Research</t>
        </is>
      </c>
    </row>
    <row r="268" ht="37.5" customHeight="1" s="91">
      <c r="A268" s="127" t="n">
        <v>8</v>
      </c>
      <c r="B268" s="127" t="inlineStr">
        <is>
          <t>NYU Stern</t>
        </is>
      </c>
      <c r="C268" s="127" t="inlineStr">
        <is>
          <t>Marketing</t>
        </is>
      </c>
      <c r="D268" s="127" t="inlineStr">
        <is>
          <t>Digital Marketing</t>
        </is>
      </c>
      <c r="E268" s="127" t="n">
        <v>5</v>
      </c>
      <c r="F268" s="127" t="inlineStr">
        <is>
          <t>Journal of Marketing Research; Journal of Marketing; Marketing Science; Journal of Consumer Research</t>
        </is>
      </c>
    </row>
    <row r="269" ht="37.5" customHeight="1" s="91">
      <c r="A269" s="128" t="n">
        <v>8</v>
      </c>
      <c r="B269" s="128" t="inlineStr">
        <is>
          <t>NYU Stern</t>
        </is>
      </c>
      <c r="C269" s="128" t="inlineStr">
        <is>
          <t>Marketing</t>
        </is>
      </c>
      <c r="D269" s="128" t="inlineStr">
        <is>
          <t>Brand Management</t>
        </is>
      </c>
      <c r="E269" s="128" t="n">
        <v>5</v>
      </c>
      <c r="F269" s="128" t="inlineStr">
        <is>
          <t>Journal of Marketing Research; Journal of Marketing; Marketing Science; Journal of Consumer Research</t>
        </is>
      </c>
    </row>
    <row r="270" ht="37.5" customHeight="1" s="91">
      <c r="A270" s="127" t="n">
        <v>8</v>
      </c>
      <c r="B270" s="127" t="inlineStr">
        <is>
          <t>NYU Stern</t>
        </is>
      </c>
      <c r="C270" s="127" t="inlineStr">
        <is>
          <t>Technology, Operations &amp; Statistics</t>
        </is>
      </c>
      <c r="D270" s="127" t="inlineStr">
        <is>
          <t>Supply Chain Management</t>
        </is>
      </c>
      <c r="E270" s="127" t="n">
        <v>5</v>
      </c>
      <c r="F270" s="127" t="inlineStr">
        <is>
          <t>Management Science; Operations Research; Manufacturing &amp; Service Operations Management; Production &amp; Operations Management</t>
        </is>
      </c>
    </row>
    <row r="271" ht="37.5" customHeight="1" s="91">
      <c r="A271" s="128" t="n">
        <v>8</v>
      </c>
      <c r="B271" s="128" t="inlineStr">
        <is>
          <t>NYU Stern</t>
        </is>
      </c>
      <c r="C271" s="128" t="inlineStr">
        <is>
          <t>Technology, Operations &amp; Statistics</t>
        </is>
      </c>
      <c r="D271" s="128" t="inlineStr">
        <is>
          <t>Operations Research</t>
        </is>
      </c>
      <c r="E271" s="128" t="n">
        <v>4</v>
      </c>
      <c r="F271" s="128" t="inlineStr">
        <is>
          <t>Management Science; Operations Research; Manufacturing &amp; Service Operations Management; Production &amp; Operations Management</t>
        </is>
      </c>
    </row>
    <row r="272" ht="37.5" customHeight="1" s="91">
      <c r="A272" s="127" t="n">
        <v>8</v>
      </c>
      <c r="B272" s="127" t="inlineStr">
        <is>
          <t>NYU Stern</t>
        </is>
      </c>
      <c r="C272" s="127" t="inlineStr">
        <is>
          <t>Technology, Operations &amp; Statistics</t>
        </is>
      </c>
      <c r="D272" s="127" t="inlineStr">
        <is>
          <t>Process Optimization</t>
        </is>
      </c>
      <c r="E272" s="127" t="n">
        <v>4</v>
      </c>
      <c r="F272" s="127" t="inlineStr">
        <is>
          <t>Management Science; Operations Research; Manufacturing &amp; Service Operations Management; Production &amp; Operations Management</t>
        </is>
      </c>
    </row>
    <row r="273" ht="37.5" customHeight="1" s="91">
      <c r="A273" s="128" t="n">
        <v>8</v>
      </c>
      <c r="B273" s="128" t="inlineStr">
        <is>
          <t>NYU Stern</t>
        </is>
      </c>
      <c r="C273" s="128" t="inlineStr">
        <is>
          <t>Technology, Operations &amp; Statistics</t>
        </is>
      </c>
      <c r="D273" s="128" t="inlineStr">
        <is>
          <t>Analytics</t>
        </is>
      </c>
      <c r="E273" s="128" t="n">
        <v>4</v>
      </c>
      <c r="F273" s="128" t="inlineStr">
        <is>
          <t>Management Science; Operations Research; Manufacturing &amp; Service Operations Management; Production &amp; Operations Management</t>
        </is>
      </c>
    </row>
    <row r="274" ht="37.5" customHeight="1" s="91">
      <c r="A274" s="127" t="n">
        <v>9</v>
      </c>
      <c r="B274" s="127" t="inlineStr">
        <is>
          <t>Dartmouth Tuck</t>
        </is>
      </c>
      <c r="C274" s="127" t="inlineStr">
        <is>
          <t>Accounting</t>
        </is>
      </c>
      <c r="D274" s="127" t="inlineStr">
        <is>
          <t>Financial Accounting</t>
        </is>
      </c>
      <c r="E274" s="127" t="n">
        <v>2</v>
      </c>
      <c r="F274" s="127" t="inlineStr">
        <is>
          <t>The Accounting Review; Journal of Accounting Research; Journal of Accounting &amp; Economics; Review of Accounting Studies</t>
        </is>
      </c>
    </row>
    <row r="275" ht="37.5" customHeight="1" s="91">
      <c r="A275" s="128" t="n">
        <v>9</v>
      </c>
      <c r="B275" s="128" t="inlineStr">
        <is>
          <t>Dartmouth Tuck</t>
        </is>
      </c>
      <c r="C275" s="128" t="inlineStr">
        <is>
          <t>Accounting</t>
        </is>
      </c>
      <c r="D275" s="128" t="inlineStr">
        <is>
          <t>Managerial Accounting</t>
        </is>
      </c>
      <c r="E275" s="128" t="n">
        <v>1</v>
      </c>
      <c r="F275" s="128" t="inlineStr">
        <is>
          <t>The Accounting Review; Journal of Accounting Research; Journal of Accounting &amp; Economics; Review of Accounting Studies</t>
        </is>
      </c>
    </row>
    <row r="276" ht="37.5" customHeight="1" s="91">
      <c r="A276" s="127" t="n">
        <v>9</v>
      </c>
      <c r="B276" s="127" t="inlineStr">
        <is>
          <t>Dartmouth Tuck</t>
        </is>
      </c>
      <c r="C276" s="127" t="inlineStr">
        <is>
          <t>Accounting</t>
        </is>
      </c>
      <c r="D276" s="127" t="inlineStr">
        <is>
          <t>Auditing &amp; Assurance</t>
        </is>
      </c>
      <c r="E276" s="127" t="n">
        <v>1</v>
      </c>
      <c r="F276" s="127" t="inlineStr">
        <is>
          <t>The Accounting Review; Journal of Accounting Research; Journal of Accounting &amp; Economics; Review of Accounting Studies</t>
        </is>
      </c>
    </row>
    <row r="277" ht="37.5" customHeight="1" s="91">
      <c r="A277" s="128" t="n">
        <v>9</v>
      </c>
      <c r="B277" s="128" t="inlineStr">
        <is>
          <t>Dartmouth Tuck</t>
        </is>
      </c>
      <c r="C277" s="128" t="inlineStr">
        <is>
          <t>Accounting</t>
        </is>
      </c>
      <c r="D277" s="128" t="inlineStr">
        <is>
          <t>Tax</t>
        </is>
      </c>
      <c r="E277" s="128" t="n">
        <v>1</v>
      </c>
      <c r="F277" s="128" t="inlineStr">
        <is>
          <t>The Accounting Review; Journal of Accounting Research; Journal of Accounting &amp; Economics; Review of Accounting Studies</t>
        </is>
      </c>
    </row>
    <row r="278" ht="37.5" customHeight="1" s="91">
      <c r="A278" s="127" t="n">
        <v>9</v>
      </c>
      <c r="B278" s="127" t="inlineStr">
        <is>
          <t>Dartmouth Tuck</t>
        </is>
      </c>
      <c r="C278" s="127" t="inlineStr">
        <is>
          <t>Economics</t>
        </is>
      </c>
      <c r="D278" s="127" t="inlineStr">
        <is>
          <t>Microeconomics</t>
        </is>
      </c>
      <c r="E278" s="127" t="n">
        <v>2</v>
      </c>
      <c r="F278" s="127" t="inlineStr">
        <is>
          <t>American Economic Review; Econometrica; Quarterly Journal of Economics; Review of Economic Studies</t>
        </is>
      </c>
    </row>
    <row r="279" ht="37.5" customHeight="1" s="91">
      <c r="A279" s="128" t="n">
        <v>9</v>
      </c>
      <c r="B279" s="128" t="inlineStr">
        <is>
          <t>Dartmouth Tuck</t>
        </is>
      </c>
      <c r="C279" s="128" t="inlineStr">
        <is>
          <t>Economics</t>
        </is>
      </c>
      <c r="D279" s="128" t="inlineStr">
        <is>
          <t>Macroeconomics</t>
        </is>
      </c>
      <c r="E279" s="128" t="n">
        <v>1</v>
      </c>
      <c r="F279" s="128" t="inlineStr">
        <is>
          <t>American Economic Review; Econometrica; Quarterly Journal of Economics; Review of Economic Studies</t>
        </is>
      </c>
    </row>
    <row r="280" ht="37.5" customHeight="1" s="91">
      <c r="A280" s="127" t="n">
        <v>9</v>
      </c>
      <c r="B280" s="127" t="inlineStr">
        <is>
          <t>Dartmouth Tuck</t>
        </is>
      </c>
      <c r="C280" s="127" t="inlineStr">
        <is>
          <t>Economics</t>
        </is>
      </c>
      <c r="D280" s="127" t="inlineStr">
        <is>
          <t>Applied Economics</t>
        </is>
      </c>
      <c r="E280" s="127" t="n">
        <v>1</v>
      </c>
      <c r="F280" s="127" t="inlineStr">
        <is>
          <t>American Economic Review; Econometrica; Quarterly Journal of Economics; Review of Economic Studies</t>
        </is>
      </c>
    </row>
    <row r="281" ht="37.5" customHeight="1" s="91">
      <c r="A281" s="128" t="n">
        <v>9</v>
      </c>
      <c r="B281" s="128" t="inlineStr">
        <is>
          <t>Dartmouth Tuck</t>
        </is>
      </c>
      <c r="C281" s="128" t="inlineStr">
        <is>
          <t>Economics</t>
        </is>
      </c>
      <c r="D281" s="128" t="inlineStr">
        <is>
          <t>Industrial Organization</t>
        </is>
      </c>
      <c r="E281" s="128" t="n">
        <v>1</v>
      </c>
      <c r="F281" s="128" t="inlineStr">
        <is>
          <t>American Economic Review; Econometrica; Quarterly Journal of Economics; Review of Economic Studies</t>
        </is>
      </c>
    </row>
    <row r="282" ht="37.5" customHeight="1" s="91">
      <c r="A282" s="127" t="n">
        <v>9</v>
      </c>
      <c r="B282" s="127" t="inlineStr">
        <is>
          <t>Dartmouth Tuck</t>
        </is>
      </c>
      <c r="C282" s="127" t="inlineStr">
        <is>
          <t>Finance</t>
        </is>
      </c>
      <c r="D282" s="127" t="inlineStr">
        <is>
          <t>Corporate Finance</t>
        </is>
      </c>
      <c r="E282" s="127" t="n">
        <v>2</v>
      </c>
      <c r="F282" s="127" t="inlineStr">
        <is>
          <t>Journal of Finance; Review of Financial Studies; Journal of Financial Economics; Journal of Financial &amp; Quantitative Analysis</t>
        </is>
      </c>
    </row>
    <row r="283" ht="37.5" customHeight="1" s="91">
      <c r="A283" s="128" t="n">
        <v>9</v>
      </c>
      <c r="B283" s="128" t="inlineStr">
        <is>
          <t>Dartmouth Tuck</t>
        </is>
      </c>
      <c r="C283" s="128" t="inlineStr">
        <is>
          <t>Finance</t>
        </is>
      </c>
      <c r="D283" s="128" t="inlineStr">
        <is>
          <t>Asset Pricing</t>
        </is>
      </c>
      <c r="E283" s="128" t="n">
        <v>1</v>
      </c>
      <c r="F283" s="128" t="inlineStr">
        <is>
          <t>Journal of Finance; Review of Financial Studies; Journal of Financial Economics; Journal of Financial &amp; Quantitative Analysis</t>
        </is>
      </c>
    </row>
    <row r="284" ht="37.5" customHeight="1" s="91">
      <c r="A284" s="127" t="n">
        <v>9</v>
      </c>
      <c r="B284" s="127" t="inlineStr">
        <is>
          <t>Dartmouth Tuck</t>
        </is>
      </c>
      <c r="C284" s="127" t="inlineStr">
        <is>
          <t>Finance</t>
        </is>
      </c>
      <c r="D284" s="127" t="inlineStr">
        <is>
          <t>Banking &amp; Financial Institutions</t>
        </is>
      </c>
      <c r="E284" s="127" t="n">
        <v>1</v>
      </c>
      <c r="F284" s="127" t="inlineStr">
        <is>
          <t>Journal of Finance; Review of Financial Studies; Journal of Financial Economics; Journal of Financial &amp; Quantitative Analysis</t>
        </is>
      </c>
    </row>
    <row r="285" ht="37.5" customHeight="1" s="91">
      <c r="A285" s="128" t="n">
        <v>9</v>
      </c>
      <c r="B285" s="128" t="inlineStr">
        <is>
          <t>Dartmouth Tuck</t>
        </is>
      </c>
      <c r="C285" s="128" t="inlineStr">
        <is>
          <t>Finance</t>
        </is>
      </c>
      <c r="D285" s="128" t="inlineStr">
        <is>
          <t>International Finance</t>
        </is>
      </c>
      <c r="E285" s="128" t="n">
        <v>1</v>
      </c>
      <c r="F285" s="128" t="inlineStr">
        <is>
          <t>Journal of Finance; Review of Financial Studies; Journal of Financial Economics; Journal of Financial &amp; Quantitative Analysis</t>
        </is>
      </c>
    </row>
    <row r="286" ht="37.5" customHeight="1" s="91">
      <c r="A286" s="127" t="n">
        <v>9</v>
      </c>
      <c r="B286" s="127" t="inlineStr">
        <is>
          <t>Dartmouth Tuck</t>
        </is>
      </c>
      <c r="C286" s="127" t="inlineStr">
        <is>
          <t>Marketing</t>
        </is>
      </c>
      <c r="D286" s="127" t="inlineStr">
        <is>
          <t>Consumer Behavior</t>
        </is>
      </c>
      <c r="E286" s="127" t="n">
        <v>2</v>
      </c>
      <c r="F286" s="127" t="inlineStr">
        <is>
          <t>Journal of Marketing Research; Journal of Marketing; Marketing Science; Journal of Consumer Research</t>
        </is>
      </c>
    </row>
    <row r="287" ht="37.5" customHeight="1" s="91">
      <c r="A287" s="128" t="n">
        <v>9</v>
      </c>
      <c r="B287" s="128" t="inlineStr">
        <is>
          <t>Dartmouth Tuck</t>
        </is>
      </c>
      <c r="C287" s="128" t="inlineStr">
        <is>
          <t>Marketing</t>
        </is>
      </c>
      <c r="D287" s="128" t="inlineStr">
        <is>
          <t>Marketing Analytics</t>
        </is>
      </c>
      <c r="E287" s="128" t="n">
        <v>1</v>
      </c>
      <c r="F287" s="128" t="inlineStr">
        <is>
          <t>Journal of Marketing Research; Journal of Marketing; Marketing Science; Journal of Consumer Research</t>
        </is>
      </c>
    </row>
    <row r="288" ht="37.5" customHeight="1" s="91">
      <c r="A288" s="127" t="n">
        <v>9</v>
      </c>
      <c r="B288" s="127" t="inlineStr">
        <is>
          <t>Dartmouth Tuck</t>
        </is>
      </c>
      <c r="C288" s="127" t="inlineStr">
        <is>
          <t>Marketing</t>
        </is>
      </c>
      <c r="D288" s="127" t="inlineStr">
        <is>
          <t>Digital Marketing</t>
        </is>
      </c>
      <c r="E288" s="127" t="n">
        <v>1</v>
      </c>
      <c r="F288" s="127" t="inlineStr">
        <is>
          <t>Journal of Marketing Research; Journal of Marketing; Marketing Science; Journal of Consumer Research</t>
        </is>
      </c>
    </row>
    <row r="289" ht="37.5" customHeight="1" s="91">
      <c r="A289" s="128" t="n">
        <v>9</v>
      </c>
      <c r="B289" s="128" t="inlineStr">
        <is>
          <t>Dartmouth Tuck</t>
        </is>
      </c>
      <c r="C289" s="128" t="inlineStr">
        <is>
          <t>Marketing</t>
        </is>
      </c>
      <c r="D289" s="128" t="inlineStr">
        <is>
          <t>Brand Management</t>
        </is>
      </c>
      <c r="E289" s="128" t="n">
        <v>1</v>
      </c>
      <c r="F289" s="128" t="inlineStr">
        <is>
          <t>Journal of Marketing Research; Journal of Marketing; Marketing Science; Journal of Consumer Research</t>
        </is>
      </c>
    </row>
    <row r="290" ht="37.5" customHeight="1" s="91">
      <c r="A290" s="127" t="n">
        <v>9</v>
      </c>
      <c r="B290" s="127" t="inlineStr">
        <is>
          <t>Dartmouth Tuck</t>
        </is>
      </c>
      <c r="C290" s="127" t="inlineStr">
        <is>
          <t>Operations Management &amp; Management Science</t>
        </is>
      </c>
      <c r="D290" s="127" t="inlineStr">
        <is>
          <t>Supply Chain Management</t>
        </is>
      </c>
      <c r="E290" s="127" t="n">
        <v>2</v>
      </c>
      <c r="F290" s="127" t="inlineStr">
        <is>
          <t>Management Science; Operations Research; Manufacturing &amp; Service Operations Management; Production &amp; Operations Management</t>
        </is>
      </c>
    </row>
    <row r="291" ht="37.5" customHeight="1" s="91">
      <c r="A291" s="128" t="n">
        <v>9</v>
      </c>
      <c r="B291" s="128" t="inlineStr">
        <is>
          <t>Dartmouth Tuck</t>
        </is>
      </c>
      <c r="C291" s="128" t="inlineStr">
        <is>
          <t>Operations Management &amp; Management Science</t>
        </is>
      </c>
      <c r="D291" s="128" t="inlineStr">
        <is>
          <t>Operations Research</t>
        </is>
      </c>
      <c r="E291" s="128" t="n">
        <v>1</v>
      </c>
      <c r="F291" s="128" t="inlineStr">
        <is>
          <t>Management Science; Operations Research; Manufacturing &amp; Service Operations Management; Production &amp; Operations Management</t>
        </is>
      </c>
    </row>
    <row r="292" ht="37.5" customHeight="1" s="91">
      <c r="A292" s="127" t="n">
        <v>9</v>
      </c>
      <c r="B292" s="127" t="inlineStr">
        <is>
          <t>Dartmouth Tuck</t>
        </is>
      </c>
      <c r="C292" s="127" t="inlineStr">
        <is>
          <t>Operations Management &amp; Management Science</t>
        </is>
      </c>
      <c r="D292" s="127" t="inlineStr">
        <is>
          <t>Process Optimization</t>
        </is>
      </c>
      <c r="E292" s="127" t="n">
        <v>1</v>
      </c>
      <c r="F292" s="127" t="inlineStr">
        <is>
          <t>Management Science; Operations Research; Manufacturing &amp; Service Operations Management; Production &amp; Operations Management</t>
        </is>
      </c>
    </row>
    <row r="293" ht="37.5" customHeight="1" s="91">
      <c r="A293" s="128" t="n">
        <v>9</v>
      </c>
      <c r="B293" s="128" t="inlineStr">
        <is>
          <t>Dartmouth Tuck</t>
        </is>
      </c>
      <c r="C293" s="128" t="inlineStr">
        <is>
          <t>Operations Management &amp; Management Science</t>
        </is>
      </c>
      <c r="D293" s="128" t="inlineStr">
        <is>
          <t>Analytics</t>
        </is>
      </c>
      <c r="E293" s="128" t="n">
        <v>1</v>
      </c>
      <c r="F293" s="128" t="inlineStr">
        <is>
          <t>Management Science; Operations Research; Manufacturing &amp; Service Operations Management; Production &amp; Operations Management</t>
        </is>
      </c>
    </row>
    <row r="294" ht="37.5" customHeight="1" s="91">
      <c r="A294" s="127" t="n">
        <v>9</v>
      </c>
      <c r="B294" s="127" t="inlineStr">
        <is>
          <t>Dartmouth Tuck</t>
        </is>
      </c>
      <c r="C294" s="127" t="inlineStr">
        <is>
          <t>Organizational Behavior</t>
        </is>
      </c>
      <c r="D294" s="127" t="inlineStr">
        <is>
          <t>Organizational Behavior</t>
        </is>
      </c>
      <c r="E294" s="127" t="n">
        <v>2</v>
      </c>
      <c r="F294" s="127" t="inlineStr">
        <is>
          <t>Academy of Management Journal; Organization Science; Administrative Science Quarterly; Journal of Applied Psychology</t>
        </is>
      </c>
    </row>
    <row r="295" ht="37.5" customHeight="1" s="91">
      <c r="A295" s="128" t="n">
        <v>9</v>
      </c>
      <c r="B295" s="128" t="inlineStr">
        <is>
          <t>Dartmouth Tuck</t>
        </is>
      </c>
      <c r="C295" s="128" t="inlineStr">
        <is>
          <t>Organizational Behavior</t>
        </is>
      </c>
      <c r="D295" s="128" t="inlineStr">
        <is>
          <t>Human Resources</t>
        </is>
      </c>
      <c r="E295" s="128" t="n">
        <v>1</v>
      </c>
      <c r="F295" s="128" t="inlineStr">
        <is>
          <t>Academy of Management Journal; Organization Science; Administrative Science Quarterly; Journal of Applied Psychology</t>
        </is>
      </c>
    </row>
    <row r="296" ht="37.5" customHeight="1" s="91">
      <c r="A296" s="127" t="n">
        <v>9</v>
      </c>
      <c r="B296" s="127" t="inlineStr">
        <is>
          <t>Dartmouth Tuck</t>
        </is>
      </c>
      <c r="C296" s="127" t="inlineStr">
        <is>
          <t>Organizational Behavior</t>
        </is>
      </c>
      <c r="D296" s="127" t="inlineStr">
        <is>
          <t>Leadership &amp; Teams</t>
        </is>
      </c>
      <c r="E296" s="127" t="n">
        <v>1</v>
      </c>
      <c r="F296" s="127" t="inlineStr">
        <is>
          <t>Academy of Management Journal; Organization Science; Administrative Science Quarterly; Journal of Applied Psychology</t>
        </is>
      </c>
    </row>
    <row r="297" ht="37.5" customHeight="1" s="91">
      <c r="A297" s="128" t="n">
        <v>9</v>
      </c>
      <c r="B297" s="128" t="inlineStr">
        <is>
          <t>Dartmouth Tuck</t>
        </is>
      </c>
      <c r="C297" s="128" t="inlineStr">
        <is>
          <t>Organizational Behavior</t>
        </is>
      </c>
      <c r="D297" s="128" t="inlineStr">
        <is>
          <t>Diversity &amp; Inclusion</t>
        </is>
      </c>
      <c r="E297" s="128" t="n">
        <v>1</v>
      </c>
      <c r="F297" s="128" t="inlineStr">
        <is>
          <t>Academy of Management Journal; Organization Science; Administrative Science Quarterly; Journal of Applied Psychology</t>
        </is>
      </c>
    </row>
    <row r="298" ht="37.5" customHeight="1" s="91">
      <c r="A298" s="127" t="n">
        <v>9</v>
      </c>
      <c r="B298" s="127" t="inlineStr">
        <is>
          <t>Dartmouth Tuck</t>
        </is>
      </c>
      <c r="C298" s="127" t="inlineStr">
        <is>
          <t>Strategic Management</t>
        </is>
      </c>
      <c r="D298" s="127" t="inlineStr">
        <is>
          <t>Competitive Strategy</t>
        </is>
      </c>
      <c r="E298" s="127" t="n">
        <v>1</v>
      </c>
      <c r="F298" s="127" t="inlineStr">
        <is>
          <t>Strategic Management Journal; Academy of Management Review; Organization Science; Journal of Economics &amp; Management Strategy</t>
        </is>
      </c>
    </row>
    <row r="299" ht="37.5" customHeight="1" s="91">
      <c r="A299" s="128" t="n">
        <v>9</v>
      </c>
      <c r="B299" s="128" t="inlineStr">
        <is>
          <t>Dartmouth Tuck</t>
        </is>
      </c>
      <c r="C299" s="128" t="inlineStr">
        <is>
          <t>Strategic Management</t>
        </is>
      </c>
      <c r="D299" s="128" t="inlineStr">
        <is>
          <t>Corporate Strategy</t>
        </is>
      </c>
      <c r="E299" s="128" t="n">
        <v>1</v>
      </c>
      <c r="F299" s="128" t="inlineStr">
        <is>
          <t>Strategic Management Journal; Academy of Management Review; Organization Science; Journal of Economics &amp; Management Strategy</t>
        </is>
      </c>
    </row>
    <row r="300" ht="37.5" customHeight="1" s="91">
      <c r="A300" s="127" t="n">
        <v>9</v>
      </c>
      <c r="B300" s="127" t="inlineStr">
        <is>
          <t>Dartmouth Tuck</t>
        </is>
      </c>
      <c r="C300" s="127" t="inlineStr">
        <is>
          <t>Strategic Management</t>
        </is>
      </c>
      <c r="D300" s="127" t="inlineStr">
        <is>
          <t>Innovation</t>
        </is>
      </c>
      <c r="E300" s="127" t="n">
        <v>1</v>
      </c>
      <c r="F300" s="127" t="inlineStr">
        <is>
          <t>Strategic Management Journal; Academy of Management Review; Organization Science; Journal of Economics &amp; Management Strategy</t>
        </is>
      </c>
    </row>
    <row r="301" ht="37.5" customHeight="1" s="91">
      <c r="A301" s="128" t="n">
        <v>9</v>
      </c>
      <c r="B301" s="128" t="inlineStr">
        <is>
          <t>Dartmouth Tuck</t>
        </is>
      </c>
      <c r="C301" s="128" t="inlineStr">
        <is>
          <t>Strategic Management</t>
        </is>
      </c>
      <c r="D301" s="128" t="inlineStr">
        <is>
          <t>Strategic Management</t>
        </is>
      </c>
      <c r="E301" s="128" t="n">
        <v>1</v>
      </c>
      <c r="F301" s="128" t="inlineStr">
        <is>
          <t>Strategic Management Journal; Academy of Management Review; Organization Science; Journal of Economics &amp; Management Strategy</t>
        </is>
      </c>
    </row>
    <row r="302" ht="37.5" customHeight="1" s="91">
      <c r="A302" s="127" t="n">
        <v>10</v>
      </c>
      <c r="B302" s="127" t="inlineStr">
        <is>
          <t>Yale SOM</t>
        </is>
      </c>
      <c r="C302" s="127" t="inlineStr">
        <is>
          <t>Accounting</t>
        </is>
      </c>
      <c r="D302" s="127" t="inlineStr">
        <is>
          <t>Financial Accounting</t>
        </is>
      </c>
      <c r="E302" s="127" t="n">
        <v>2</v>
      </c>
      <c r="F302" s="127" t="inlineStr">
        <is>
          <t>The Accounting Review; Journal of Accounting Research; Journal of Accounting &amp; Economics; Review of Accounting Studies</t>
        </is>
      </c>
    </row>
    <row r="303" ht="37.5" customHeight="1" s="91">
      <c r="A303" s="128" t="n">
        <v>10</v>
      </c>
      <c r="B303" s="128" t="inlineStr">
        <is>
          <t>Yale SOM</t>
        </is>
      </c>
      <c r="C303" s="128" t="inlineStr">
        <is>
          <t>Accounting</t>
        </is>
      </c>
      <c r="D303" s="128" t="inlineStr">
        <is>
          <t>Managerial Accounting</t>
        </is>
      </c>
      <c r="E303" s="128" t="n">
        <v>1</v>
      </c>
      <c r="F303" s="128" t="inlineStr">
        <is>
          <t>The Accounting Review; Journal of Accounting Research; Journal of Accounting &amp; Economics; Review of Accounting Studies</t>
        </is>
      </c>
    </row>
    <row r="304" ht="37.5" customHeight="1" s="91">
      <c r="A304" s="127" t="n">
        <v>10</v>
      </c>
      <c r="B304" s="127" t="inlineStr">
        <is>
          <t>Yale SOM</t>
        </is>
      </c>
      <c r="C304" s="127" t="inlineStr">
        <is>
          <t>Accounting</t>
        </is>
      </c>
      <c r="D304" s="127" t="inlineStr">
        <is>
          <t>Auditing &amp; Assurance</t>
        </is>
      </c>
      <c r="E304" s="127" t="n">
        <v>1</v>
      </c>
      <c r="F304" s="127" t="inlineStr">
        <is>
          <t>The Accounting Review; Journal of Accounting Research; Journal of Accounting &amp; Economics; Review of Accounting Studies</t>
        </is>
      </c>
    </row>
    <row r="305" ht="37.5" customHeight="1" s="91">
      <c r="A305" s="128" t="n">
        <v>10</v>
      </c>
      <c r="B305" s="128" t="inlineStr">
        <is>
          <t>Yale SOM</t>
        </is>
      </c>
      <c r="C305" s="128" t="inlineStr">
        <is>
          <t>Accounting</t>
        </is>
      </c>
      <c r="D305" s="128" t="inlineStr">
        <is>
          <t>Tax</t>
        </is>
      </c>
      <c r="E305" s="128" t="n">
        <v>1</v>
      </c>
      <c r="F305" s="128" t="inlineStr">
        <is>
          <t>The Accounting Review; Journal of Accounting Research; Journal of Accounting &amp; Economics; Review of Accounting Studies</t>
        </is>
      </c>
    </row>
    <row r="306" ht="37.5" customHeight="1" s="91">
      <c r="A306" s="127" t="n">
        <v>10</v>
      </c>
      <c r="B306" s="127" t="inlineStr">
        <is>
          <t>Yale SOM</t>
        </is>
      </c>
      <c r="C306" s="127" t="inlineStr">
        <is>
          <t>Economics</t>
        </is>
      </c>
      <c r="D306" s="127" t="inlineStr">
        <is>
          <t>Microeconomics</t>
        </is>
      </c>
      <c r="E306" s="127" t="n">
        <v>2</v>
      </c>
      <c r="F306" s="127" t="inlineStr">
        <is>
          <t>American Economic Review; Econometrica; Quarterly Journal of Economics; Review of Economic Studies</t>
        </is>
      </c>
    </row>
    <row r="307" ht="37.5" customHeight="1" s="91">
      <c r="A307" s="128" t="n">
        <v>10</v>
      </c>
      <c r="B307" s="128" t="inlineStr">
        <is>
          <t>Yale SOM</t>
        </is>
      </c>
      <c r="C307" s="128" t="inlineStr">
        <is>
          <t>Economics</t>
        </is>
      </c>
      <c r="D307" s="128" t="inlineStr">
        <is>
          <t>Macroeconomics</t>
        </is>
      </c>
      <c r="E307" s="128" t="n">
        <v>1</v>
      </c>
      <c r="F307" s="128" t="inlineStr">
        <is>
          <t>American Economic Review; Econometrica; Quarterly Journal of Economics; Review of Economic Studies</t>
        </is>
      </c>
    </row>
    <row r="308" ht="37.5" customHeight="1" s="91">
      <c r="A308" s="127" t="n">
        <v>10</v>
      </c>
      <c r="B308" s="127" t="inlineStr">
        <is>
          <t>Yale SOM</t>
        </is>
      </c>
      <c r="C308" s="127" t="inlineStr">
        <is>
          <t>Economics</t>
        </is>
      </c>
      <c r="D308" s="127" t="inlineStr">
        <is>
          <t>Applied Economics</t>
        </is>
      </c>
      <c r="E308" s="127" t="n">
        <v>1</v>
      </c>
      <c r="F308" s="127" t="inlineStr">
        <is>
          <t>American Economic Review; Econometrica; Quarterly Journal of Economics; Review of Economic Studies</t>
        </is>
      </c>
    </row>
    <row r="309" ht="37.5" customHeight="1" s="91">
      <c r="A309" s="128" t="n">
        <v>10</v>
      </c>
      <c r="B309" s="128" t="inlineStr">
        <is>
          <t>Yale SOM</t>
        </is>
      </c>
      <c r="C309" s="128" t="inlineStr">
        <is>
          <t>Economics</t>
        </is>
      </c>
      <c r="D309" s="128" t="inlineStr">
        <is>
          <t>Industrial Organization</t>
        </is>
      </c>
      <c r="E309" s="128" t="n">
        <v>1</v>
      </c>
      <c r="F309" s="128" t="inlineStr">
        <is>
          <t>American Economic Review; Econometrica; Quarterly Journal of Economics; Review of Economic Studies</t>
        </is>
      </c>
    </row>
    <row r="310" ht="37.5" customHeight="1" s="91">
      <c r="A310" s="127" t="n">
        <v>10</v>
      </c>
      <c r="B310" s="127" t="inlineStr">
        <is>
          <t>Yale SOM</t>
        </is>
      </c>
      <c r="C310" s="127" t="inlineStr">
        <is>
          <t>Entrepreneurship</t>
        </is>
      </c>
      <c r="D310" s="127" t="inlineStr">
        <is>
          <t>Theory</t>
        </is>
      </c>
      <c r="E310" s="127" t="n">
        <v>2</v>
      </c>
      <c r="F310" s="127" t="inlineStr">
        <is>
          <t>Management Science; Academy of Management Journal; Journal of Business Research; Strategic Management Journal</t>
        </is>
      </c>
    </row>
    <row r="311" ht="37.5" customHeight="1" s="91">
      <c r="A311" s="128" t="n">
        <v>10</v>
      </c>
      <c r="B311" s="128" t="inlineStr">
        <is>
          <t>Yale SOM</t>
        </is>
      </c>
      <c r="C311" s="128" t="inlineStr">
        <is>
          <t>Entrepreneurship</t>
        </is>
      </c>
      <c r="D311" s="128" t="inlineStr">
        <is>
          <t>Empirical Research</t>
        </is>
      </c>
      <c r="E311" s="128" t="n">
        <v>2</v>
      </c>
      <c r="F311" s="128" t="inlineStr">
        <is>
          <t>Management Science; Academy of Management Journal; Journal of Business Research; Strategic Management Journal</t>
        </is>
      </c>
    </row>
    <row r="312" ht="37.5" customHeight="1" s="91">
      <c r="A312" s="127" t="n">
        <v>10</v>
      </c>
      <c r="B312" s="127" t="inlineStr">
        <is>
          <t>Yale SOM</t>
        </is>
      </c>
      <c r="C312" s="127" t="inlineStr">
        <is>
          <t>Entrepreneurship</t>
        </is>
      </c>
      <c r="D312" s="127" t="inlineStr">
        <is>
          <t>Applied Research</t>
        </is>
      </c>
      <c r="E312" s="127" t="n">
        <v>1</v>
      </c>
      <c r="F312" s="127" t="inlineStr">
        <is>
          <t>Management Science; Academy of Management Journal; Journal of Business Research; Strategic Management Journal</t>
        </is>
      </c>
    </row>
    <row r="313" ht="37.5" customHeight="1" s="91">
      <c r="A313" s="128" t="n">
        <v>10</v>
      </c>
      <c r="B313" s="128" t="inlineStr">
        <is>
          <t>Yale SOM</t>
        </is>
      </c>
      <c r="C313" s="128" t="inlineStr">
        <is>
          <t>Entrepreneurship</t>
        </is>
      </c>
      <c r="D313" s="128" t="inlineStr">
        <is>
          <t>Policy</t>
        </is>
      </c>
      <c r="E313" s="128" t="n">
        <v>1</v>
      </c>
      <c r="F313" s="128" t="inlineStr">
        <is>
          <t>Management Science; Academy of Management Journal; Journal of Business Research; Strategic Management Journal</t>
        </is>
      </c>
    </row>
    <row r="314" ht="37.5" customHeight="1" s="91">
      <c r="A314" s="127" t="n">
        <v>10</v>
      </c>
      <c r="B314" s="127" t="inlineStr">
        <is>
          <t>Yale SOM</t>
        </is>
      </c>
      <c r="C314" s="127" t="inlineStr">
        <is>
          <t>Finance</t>
        </is>
      </c>
      <c r="D314" s="127" t="inlineStr">
        <is>
          <t>Corporate Finance</t>
        </is>
      </c>
      <c r="E314" s="127" t="n">
        <v>2</v>
      </c>
      <c r="F314" s="127" t="inlineStr">
        <is>
          <t>Journal of Finance; Review of Financial Studies; Journal of Financial Economics; Journal of Financial &amp; Quantitative Analysis</t>
        </is>
      </c>
    </row>
    <row r="315" ht="37.5" customHeight="1" s="91">
      <c r="A315" s="128" t="n">
        <v>10</v>
      </c>
      <c r="B315" s="128" t="inlineStr">
        <is>
          <t>Yale SOM</t>
        </is>
      </c>
      <c r="C315" s="128" t="inlineStr">
        <is>
          <t>Finance</t>
        </is>
      </c>
      <c r="D315" s="128" t="inlineStr">
        <is>
          <t>Asset Pricing</t>
        </is>
      </c>
      <c r="E315" s="128" t="n">
        <v>2</v>
      </c>
      <c r="F315" s="128" t="inlineStr">
        <is>
          <t>Journal of Finance; Review of Financial Studies; Journal of Financial Economics; Journal of Financial &amp; Quantitative Analysis</t>
        </is>
      </c>
    </row>
    <row r="316" ht="37.5" customHeight="1" s="91">
      <c r="A316" s="127" t="n">
        <v>10</v>
      </c>
      <c r="B316" s="127" t="inlineStr">
        <is>
          <t>Yale SOM</t>
        </is>
      </c>
      <c r="C316" s="127" t="inlineStr">
        <is>
          <t>Finance</t>
        </is>
      </c>
      <c r="D316" s="127" t="inlineStr">
        <is>
          <t>Banking &amp; Financial Institutions</t>
        </is>
      </c>
      <c r="E316" s="127" t="n">
        <v>2</v>
      </c>
      <c r="F316" s="127" t="inlineStr">
        <is>
          <t>Journal of Finance; Review of Financial Studies; Journal of Financial Economics; Journal of Financial &amp; Quantitative Analysis</t>
        </is>
      </c>
    </row>
    <row r="317" ht="37.5" customHeight="1" s="91">
      <c r="A317" s="128" t="n">
        <v>10</v>
      </c>
      <c r="B317" s="128" t="inlineStr">
        <is>
          <t>Yale SOM</t>
        </is>
      </c>
      <c r="C317" s="128" t="inlineStr">
        <is>
          <t>Finance</t>
        </is>
      </c>
      <c r="D317" s="128" t="inlineStr">
        <is>
          <t>International Finance</t>
        </is>
      </c>
      <c r="E317" s="128" t="n">
        <v>1</v>
      </c>
      <c r="F317" s="128" t="inlineStr">
        <is>
          <t>Journal of Finance; Review of Financial Studies; Journal of Financial Economics; Journal of Financial &amp; Quantitative Analysis</t>
        </is>
      </c>
    </row>
    <row r="318" ht="37.5" customHeight="1" s="91">
      <c r="A318" s="127" t="n">
        <v>10</v>
      </c>
      <c r="B318" s="127" t="inlineStr">
        <is>
          <t>Yale SOM</t>
        </is>
      </c>
      <c r="C318" s="127" t="inlineStr">
        <is>
          <t>Marketing</t>
        </is>
      </c>
      <c r="D318" s="127" t="inlineStr">
        <is>
          <t>Consumer Behavior</t>
        </is>
      </c>
      <c r="E318" s="127" t="n">
        <v>2</v>
      </c>
      <c r="F318" s="127" t="inlineStr">
        <is>
          <t>Journal of Marketing Research; Journal of Marketing; Marketing Science; Journal of Consumer Research</t>
        </is>
      </c>
    </row>
    <row r="319" ht="37.5" customHeight="1" s="91">
      <c r="A319" s="128" t="n">
        <v>10</v>
      </c>
      <c r="B319" s="128" t="inlineStr">
        <is>
          <t>Yale SOM</t>
        </is>
      </c>
      <c r="C319" s="128" t="inlineStr">
        <is>
          <t>Marketing</t>
        </is>
      </c>
      <c r="D319" s="128" t="inlineStr">
        <is>
          <t>Marketing Analytics</t>
        </is>
      </c>
      <c r="E319" s="128" t="n">
        <v>2</v>
      </c>
      <c r="F319" s="128" t="inlineStr">
        <is>
          <t>Journal of Marketing Research; Journal of Marketing; Marketing Science; Journal of Consumer Research</t>
        </is>
      </c>
    </row>
    <row r="320" ht="37.5" customHeight="1" s="91">
      <c r="A320" s="127" t="n">
        <v>10</v>
      </c>
      <c r="B320" s="127" t="inlineStr">
        <is>
          <t>Yale SOM</t>
        </is>
      </c>
      <c r="C320" s="127" t="inlineStr">
        <is>
          <t>Marketing</t>
        </is>
      </c>
      <c r="D320" s="127" t="inlineStr">
        <is>
          <t>Digital Marketing</t>
        </is>
      </c>
      <c r="E320" s="127" t="n">
        <v>1</v>
      </c>
      <c r="F320" s="127" t="inlineStr">
        <is>
          <t>Journal of Marketing Research; Journal of Marketing; Marketing Science; Journal of Consumer Research</t>
        </is>
      </c>
    </row>
    <row r="321" ht="37.5" customHeight="1" s="91">
      <c r="A321" s="128" t="n">
        <v>10</v>
      </c>
      <c r="B321" s="128" t="inlineStr">
        <is>
          <t>Yale SOM</t>
        </is>
      </c>
      <c r="C321" s="128" t="inlineStr">
        <is>
          <t>Marketing</t>
        </is>
      </c>
      <c r="D321" s="128" t="inlineStr">
        <is>
          <t>Brand Management</t>
        </is>
      </c>
      <c r="E321" s="128" t="n">
        <v>1</v>
      </c>
      <c r="F321" s="128" t="inlineStr">
        <is>
          <t>Journal of Marketing Research; Journal of Marketing; Marketing Science; Journal of Consumer Research</t>
        </is>
      </c>
    </row>
    <row r="322" ht="37.5" customHeight="1" s="91">
      <c r="A322" s="127" t="n">
        <v>10</v>
      </c>
      <c r="B322" s="127" t="inlineStr">
        <is>
          <t>Yale SOM</t>
        </is>
      </c>
      <c r="C322" s="127" t="inlineStr">
        <is>
          <t>Operations Management</t>
        </is>
      </c>
      <c r="D322" s="127" t="inlineStr">
        <is>
          <t>Supply Chain Management</t>
        </is>
      </c>
      <c r="E322" s="127" t="n">
        <v>2</v>
      </c>
      <c r="F322" s="127" t="inlineStr">
        <is>
          <t>Management Science; Operations Research; Manufacturing &amp; Service Operations Management; Production &amp; Operations Management</t>
        </is>
      </c>
    </row>
    <row r="323" ht="37.5" customHeight="1" s="91">
      <c r="A323" s="128" t="n">
        <v>10</v>
      </c>
      <c r="B323" s="128" t="inlineStr">
        <is>
          <t>Yale SOM</t>
        </is>
      </c>
      <c r="C323" s="128" t="inlineStr">
        <is>
          <t>Operations Management</t>
        </is>
      </c>
      <c r="D323" s="128" t="inlineStr">
        <is>
          <t>Operations Research</t>
        </is>
      </c>
      <c r="E323" s="128" t="n">
        <v>2</v>
      </c>
      <c r="F323" s="128" t="inlineStr">
        <is>
          <t>Management Science; Operations Research; Manufacturing &amp; Service Operations Management; Production &amp; Operations Management</t>
        </is>
      </c>
    </row>
    <row r="324" ht="37.5" customHeight="1" s="91">
      <c r="A324" s="127" t="n">
        <v>10</v>
      </c>
      <c r="B324" s="127" t="inlineStr">
        <is>
          <t>Yale SOM</t>
        </is>
      </c>
      <c r="C324" s="127" t="inlineStr">
        <is>
          <t>Operations Management</t>
        </is>
      </c>
      <c r="D324" s="127" t="inlineStr">
        <is>
          <t>Process Optimization</t>
        </is>
      </c>
      <c r="E324" s="127" t="n">
        <v>1</v>
      </c>
      <c r="F324" s="127" t="inlineStr">
        <is>
          <t>Management Science; Operations Research; Manufacturing &amp; Service Operations Management; Production &amp; Operations Management</t>
        </is>
      </c>
    </row>
    <row r="325" ht="37.5" customHeight="1" s="91">
      <c r="A325" s="128" t="n">
        <v>10</v>
      </c>
      <c r="B325" s="128" t="inlineStr">
        <is>
          <t>Yale SOM</t>
        </is>
      </c>
      <c r="C325" s="128" t="inlineStr">
        <is>
          <t>Operations Management</t>
        </is>
      </c>
      <c r="D325" s="128" t="inlineStr">
        <is>
          <t>Analytics</t>
        </is>
      </c>
      <c r="E325" s="128" t="n">
        <v>1</v>
      </c>
      <c r="F325" s="128" t="inlineStr">
        <is>
          <t>Management Science; Operations Research; Manufacturing &amp; Service Operations Management; Production &amp; Operations Management</t>
        </is>
      </c>
    </row>
    <row r="326" ht="37.5" customHeight="1" s="91">
      <c r="A326" s="127" t="n">
        <v>10</v>
      </c>
      <c r="B326" s="127" t="inlineStr">
        <is>
          <t>Yale SOM</t>
        </is>
      </c>
      <c r="C326" s="127" t="inlineStr">
        <is>
          <t>Organizational Behavior</t>
        </is>
      </c>
      <c r="D326" s="127" t="inlineStr">
        <is>
          <t>Organizational Behavior</t>
        </is>
      </c>
      <c r="E326" s="127" t="n">
        <v>2</v>
      </c>
      <c r="F326" s="127" t="inlineStr">
        <is>
          <t>Academy of Management Journal; Organization Science; Administrative Science Quarterly; Journal of Applied Psychology</t>
        </is>
      </c>
    </row>
    <row r="327" ht="37.5" customHeight="1" s="91">
      <c r="A327" s="128" t="n">
        <v>10</v>
      </c>
      <c r="B327" s="128" t="inlineStr">
        <is>
          <t>Yale SOM</t>
        </is>
      </c>
      <c r="C327" s="128" t="inlineStr">
        <is>
          <t>Organizational Behavior</t>
        </is>
      </c>
      <c r="D327" s="128" t="inlineStr">
        <is>
          <t>Human Resources</t>
        </is>
      </c>
      <c r="E327" s="128" t="n">
        <v>1</v>
      </c>
      <c r="F327" s="128" t="inlineStr">
        <is>
          <t>Academy of Management Journal; Organization Science; Administrative Science Quarterly; Journal of Applied Psychology</t>
        </is>
      </c>
    </row>
    <row r="328" ht="37.5" customHeight="1" s="91">
      <c r="A328" s="127" t="n">
        <v>10</v>
      </c>
      <c r="B328" s="127" t="inlineStr">
        <is>
          <t>Yale SOM</t>
        </is>
      </c>
      <c r="C328" s="127" t="inlineStr">
        <is>
          <t>Organizational Behavior</t>
        </is>
      </c>
      <c r="D328" s="127" t="inlineStr">
        <is>
          <t>Leadership &amp; Teams</t>
        </is>
      </c>
      <c r="E328" s="127" t="n">
        <v>1</v>
      </c>
      <c r="F328" s="127" t="inlineStr">
        <is>
          <t>Academy of Management Journal; Organization Science; Administrative Science Quarterly; Journal of Applied Psychology</t>
        </is>
      </c>
    </row>
    <row r="329" ht="37.5" customHeight="1" s="91">
      <c r="A329" s="128" t="n">
        <v>10</v>
      </c>
      <c r="B329" s="128" t="inlineStr">
        <is>
          <t>Yale SOM</t>
        </is>
      </c>
      <c r="C329" s="128" t="inlineStr">
        <is>
          <t>Organizational Behavior</t>
        </is>
      </c>
      <c r="D329" s="128" t="inlineStr">
        <is>
          <t>Diversity &amp; Inclusion</t>
        </is>
      </c>
      <c r="E329" s="128" t="n">
        <v>1</v>
      </c>
      <c r="F329" s="128" t="inlineStr">
        <is>
          <t>Academy of Management Journal; Organization Science; Administrative Science Quarterly; Journal of Applied Psychology</t>
        </is>
      </c>
    </row>
    <row r="330" ht="37.5" customHeight="1" s="91">
      <c r="A330" s="127" t="n">
        <v>11</v>
      </c>
      <c r="B330" s="127" t="inlineStr">
        <is>
          <t>Berkeley Haas</t>
        </is>
      </c>
      <c r="C330" s="127" t="inlineStr">
        <is>
          <t>Accounting</t>
        </is>
      </c>
      <c r="D330" s="127" t="inlineStr">
        <is>
          <t>Financial Accounting</t>
        </is>
      </c>
      <c r="E330" s="127" t="n">
        <v>4</v>
      </c>
      <c r="F330" s="127" t="inlineStr">
        <is>
          <t>The Accounting Review; Journal of Accounting Research; Journal of Accounting &amp; Economics; Review of Accounting Studies</t>
        </is>
      </c>
    </row>
    <row r="331" ht="37.5" customHeight="1" s="91">
      <c r="A331" s="128" t="n">
        <v>11</v>
      </c>
      <c r="B331" s="128" t="inlineStr">
        <is>
          <t>Berkeley Haas</t>
        </is>
      </c>
      <c r="C331" s="128" t="inlineStr">
        <is>
          <t>Accounting</t>
        </is>
      </c>
      <c r="D331" s="128" t="inlineStr">
        <is>
          <t>Managerial Accounting</t>
        </is>
      </c>
      <c r="E331" s="128" t="n">
        <v>3</v>
      </c>
      <c r="F331" s="128" t="inlineStr">
        <is>
          <t>The Accounting Review; Journal of Accounting Research; Journal of Accounting &amp; Economics; Review of Accounting Studies</t>
        </is>
      </c>
    </row>
    <row r="332" ht="37.5" customHeight="1" s="91">
      <c r="A332" s="127" t="n">
        <v>11</v>
      </c>
      <c r="B332" s="127" t="inlineStr">
        <is>
          <t>Berkeley Haas</t>
        </is>
      </c>
      <c r="C332" s="127" t="inlineStr">
        <is>
          <t>Accounting</t>
        </is>
      </c>
      <c r="D332" s="127" t="inlineStr">
        <is>
          <t>Auditing &amp; Assurance</t>
        </is>
      </c>
      <c r="E332" s="127" t="n">
        <v>3</v>
      </c>
      <c r="F332" s="127" t="inlineStr">
        <is>
          <t>The Accounting Review; Journal of Accounting Research; Journal of Accounting &amp; Economics; Review of Accounting Studies</t>
        </is>
      </c>
    </row>
    <row r="333" ht="37.5" customHeight="1" s="91">
      <c r="A333" s="128" t="n">
        <v>11</v>
      </c>
      <c r="B333" s="128" t="inlineStr">
        <is>
          <t>Berkeley Haas</t>
        </is>
      </c>
      <c r="C333" s="128" t="inlineStr">
        <is>
          <t>Accounting</t>
        </is>
      </c>
      <c r="D333" s="128" t="inlineStr">
        <is>
          <t>Tax</t>
        </is>
      </c>
      <c r="E333" s="128" t="n">
        <v>3</v>
      </c>
      <c r="F333" s="128" t="inlineStr">
        <is>
          <t>The Accounting Review; Journal of Accounting Research; Journal of Accounting &amp; Economics; Review of Accounting Studies</t>
        </is>
      </c>
    </row>
    <row r="334" ht="37.5" customHeight="1" s="91">
      <c r="A334" s="127" t="n">
        <v>11</v>
      </c>
      <c r="B334" s="127" t="inlineStr">
        <is>
          <t>Berkeley Haas</t>
        </is>
      </c>
      <c r="C334" s="127" t="inlineStr">
        <is>
          <t>Business &amp; Public Policy</t>
        </is>
      </c>
      <c r="D334" s="127" t="inlineStr">
        <is>
          <t>Theory</t>
        </is>
      </c>
      <c r="E334" s="127" t="n">
        <v>4</v>
      </c>
      <c r="F334" s="127" t="inlineStr">
        <is>
          <t>Management Science; Academy of Management Journal; Journal of Business Research; Strategic Management Journal</t>
        </is>
      </c>
    </row>
    <row r="335" ht="37.5" customHeight="1" s="91">
      <c r="A335" s="128" t="n">
        <v>11</v>
      </c>
      <c r="B335" s="128" t="inlineStr">
        <is>
          <t>Berkeley Haas</t>
        </is>
      </c>
      <c r="C335" s="128" t="inlineStr">
        <is>
          <t>Business &amp; Public Policy</t>
        </is>
      </c>
      <c r="D335" s="128" t="inlineStr">
        <is>
          <t>Empirical Research</t>
        </is>
      </c>
      <c r="E335" s="128" t="n">
        <v>3</v>
      </c>
      <c r="F335" s="128" t="inlineStr">
        <is>
          <t>Management Science; Academy of Management Journal; Journal of Business Research; Strategic Management Journal</t>
        </is>
      </c>
    </row>
    <row r="336" ht="37.5" customHeight="1" s="91">
      <c r="A336" s="127" t="n">
        <v>11</v>
      </c>
      <c r="B336" s="127" t="inlineStr">
        <is>
          <t>Berkeley Haas</t>
        </is>
      </c>
      <c r="C336" s="127" t="inlineStr">
        <is>
          <t>Business &amp; Public Policy</t>
        </is>
      </c>
      <c r="D336" s="127" t="inlineStr">
        <is>
          <t>Applied Research</t>
        </is>
      </c>
      <c r="E336" s="127" t="n">
        <v>3</v>
      </c>
      <c r="F336" s="127" t="inlineStr">
        <is>
          <t>Management Science; Academy of Management Journal; Journal of Business Research; Strategic Management Journal</t>
        </is>
      </c>
    </row>
    <row r="337" ht="37.5" customHeight="1" s="91">
      <c r="A337" s="128" t="n">
        <v>11</v>
      </c>
      <c r="B337" s="128" t="inlineStr">
        <is>
          <t>Berkeley Haas</t>
        </is>
      </c>
      <c r="C337" s="128" t="inlineStr">
        <is>
          <t>Business &amp; Public Policy</t>
        </is>
      </c>
      <c r="D337" s="128" t="inlineStr">
        <is>
          <t>Policy</t>
        </is>
      </c>
      <c r="E337" s="128" t="n">
        <v>3</v>
      </c>
      <c r="F337" s="128" t="inlineStr">
        <is>
          <t>Management Science; Academy of Management Journal; Journal of Business Research; Strategic Management Journal</t>
        </is>
      </c>
    </row>
    <row r="338" ht="37.5" customHeight="1" s="91">
      <c r="A338" s="127" t="n">
        <v>11</v>
      </c>
      <c r="B338" s="127" t="inlineStr">
        <is>
          <t>Berkeley Haas</t>
        </is>
      </c>
      <c r="C338" s="127" t="inlineStr">
        <is>
          <t>Finance</t>
        </is>
      </c>
      <c r="D338" s="127" t="inlineStr">
        <is>
          <t>Corporate Finance</t>
        </is>
      </c>
      <c r="E338" s="127" t="n">
        <v>4</v>
      </c>
      <c r="F338" s="127" t="inlineStr">
        <is>
          <t>Journal of Finance; Review of Financial Studies; Journal of Financial Economics; Journal of Financial &amp; Quantitative Analysis</t>
        </is>
      </c>
    </row>
    <row r="339" ht="37.5" customHeight="1" s="91">
      <c r="A339" s="128" t="n">
        <v>11</v>
      </c>
      <c r="B339" s="128" t="inlineStr">
        <is>
          <t>Berkeley Haas</t>
        </is>
      </c>
      <c r="C339" s="128" t="inlineStr">
        <is>
          <t>Finance</t>
        </is>
      </c>
      <c r="D339" s="128" t="inlineStr">
        <is>
          <t>Asset Pricing</t>
        </is>
      </c>
      <c r="E339" s="128" t="n">
        <v>4</v>
      </c>
      <c r="F339" s="128" t="inlineStr">
        <is>
          <t>Journal of Finance; Review of Financial Studies; Journal of Financial Economics; Journal of Financial &amp; Quantitative Analysis</t>
        </is>
      </c>
    </row>
    <row r="340" ht="37.5" customHeight="1" s="91">
      <c r="A340" s="127" t="n">
        <v>11</v>
      </c>
      <c r="B340" s="127" t="inlineStr">
        <is>
          <t>Berkeley Haas</t>
        </is>
      </c>
      <c r="C340" s="127" t="inlineStr">
        <is>
          <t>Finance</t>
        </is>
      </c>
      <c r="D340" s="127" t="inlineStr">
        <is>
          <t>Banking &amp; Financial Institutions</t>
        </is>
      </c>
      <c r="E340" s="127" t="n">
        <v>4</v>
      </c>
      <c r="F340" s="127" t="inlineStr">
        <is>
          <t>Journal of Finance; Review of Financial Studies; Journal of Financial Economics; Journal of Financial &amp; Quantitative Analysis</t>
        </is>
      </c>
    </row>
    <row r="341" ht="37.5" customHeight="1" s="91">
      <c r="A341" s="128" t="n">
        <v>11</v>
      </c>
      <c r="B341" s="128" t="inlineStr">
        <is>
          <t>Berkeley Haas</t>
        </is>
      </c>
      <c r="C341" s="128" t="inlineStr">
        <is>
          <t>Finance</t>
        </is>
      </c>
      <c r="D341" s="128" t="inlineStr">
        <is>
          <t>International Finance</t>
        </is>
      </c>
      <c r="E341" s="128" t="n">
        <v>4</v>
      </c>
      <c r="F341" s="128" t="inlineStr">
        <is>
          <t>Journal of Finance; Review of Financial Studies; Journal of Financial Economics; Journal of Financial &amp; Quantitative Analysis</t>
        </is>
      </c>
    </row>
    <row r="342" ht="37.5" customHeight="1" s="91">
      <c r="A342" s="127" t="n">
        <v>11</v>
      </c>
      <c r="B342" s="127" t="inlineStr">
        <is>
          <t>Berkeley Haas</t>
        </is>
      </c>
      <c r="C342" s="127" t="inlineStr">
        <is>
          <t>Management of Organizations</t>
        </is>
      </c>
      <c r="D342" s="127" t="inlineStr">
        <is>
          <t>Organizational Behavior</t>
        </is>
      </c>
      <c r="E342" s="127" t="n">
        <v>4</v>
      </c>
      <c r="F342" s="127" t="inlineStr">
        <is>
          <t>Academy of Management Journal; Organization Science; Administrative Science Quarterly; Journal of Applied Psychology</t>
        </is>
      </c>
    </row>
    <row r="343" ht="37.5" customHeight="1" s="91">
      <c r="A343" s="128" t="n">
        <v>11</v>
      </c>
      <c r="B343" s="128" t="inlineStr">
        <is>
          <t>Berkeley Haas</t>
        </is>
      </c>
      <c r="C343" s="128" t="inlineStr">
        <is>
          <t>Management of Organizations</t>
        </is>
      </c>
      <c r="D343" s="128" t="inlineStr">
        <is>
          <t>Human Resources</t>
        </is>
      </c>
      <c r="E343" s="128" t="n">
        <v>4</v>
      </c>
      <c r="F343" s="128" t="inlineStr">
        <is>
          <t>Academy of Management Journal; Organization Science; Administrative Science Quarterly; Journal of Applied Psychology</t>
        </is>
      </c>
    </row>
    <row r="344" ht="37.5" customHeight="1" s="91">
      <c r="A344" s="127" t="n">
        <v>11</v>
      </c>
      <c r="B344" s="127" t="inlineStr">
        <is>
          <t>Berkeley Haas</t>
        </is>
      </c>
      <c r="C344" s="127" t="inlineStr">
        <is>
          <t>Management of Organizations</t>
        </is>
      </c>
      <c r="D344" s="127" t="inlineStr">
        <is>
          <t>Leadership &amp; Teams</t>
        </is>
      </c>
      <c r="E344" s="127" t="n">
        <v>3</v>
      </c>
      <c r="F344" s="127" t="inlineStr">
        <is>
          <t>Academy of Management Journal; Organization Science; Administrative Science Quarterly; Journal of Applied Psychology</t>
        </is>
      </c>
    </row>
    <row r="345" ht="37.5" customHeight="1" s="91">
      <c r="A345" s="128" t="n">
        <v>11</v>
      </c>
      <c r="B345" s="128" t="inlineStr">
        <is>
          <t>Berkeley Haas</t>
        </is>
      </c>
      <c r="C345" s="128" t="inlineStr">
        <is>
          <t>Management of Organizations</t>
        </is>
      </c>
      <c r="D345" s="128" t="inlineStr">
        <is>
          <t>Diversity &amp; Inclusion</t>
        </is>
      </c>
      <c r="E345" s="128" t="n">
        <v>3</v>
      </c>
      <c r="F345" s="128" t="inlineStr">
        <is>
          <t>Academy of Management Journal; Organization Science; Administrative Science Quarterly; Journal of Applied Psychology</t>
        </is>
      </c>
    </row>
    <row r="346" ht="37.5" customHeight="1" s="91">
      <c r="A346" s="127" t="n">
        <v>11</v>
      </c>
      <c r="B346" s="127" t="inlineStr">
        <is>
          <t>Berkeley Haas</t>
        </is>
      </c>
      <c r="C346" s="127" t="inlineStr">
        <is>
          <t>Marketing</t>
        </is>
      </c>
      <c r="D346" s="127" t="inlineStr">
        <is>
          <t>Consumer Behavior</t>
        </is>
      </c>
      <c r="E346" s="127" t="n">
        <v>4</v>
      </c>
      <c r="F346" s="127" t="inlineStr">
        <is>
          <t>Journal of Marketing Research; Journal of Marketing; Marketing Science; Journal of Consumer Research</t>
        </is>
      </c>
    </row>
    <row r="347" ht="37.5" customHeight="1" s="91">
      <c r="A347" s="128" t="n">
        <v>11</v>
      </c>
      <c r="B347" s="128" t="inlineStr">
        <is>
          <t>Berkeley Haas</t>
        </is>
      </c>
      <c r="C347" s="128" t="inlineStr">
        <is>
          <t>Marketing</t>
        </is>
      </c>
      <c r="D347" s="128" t="inlineStr">
        <is>
          <t>Marketing Analytics</t>
        </is>
      </c>
      <c r="E347" s="128" t="n">
        <v>4</v>
      </c>
      <c r="F347" s="128" t="inlineStr">
        <is>
          <t>Journal of Marketing Research; Journal of Marketing; Marketing Science; Journal of Consumer Research</t>
        </is>
      </c>
    </row>
    <row r="348" ht="37.5" customHeight="1" s="91">
      <c r="A348" s="127" t="n">
        <v>11</v>
      </c>
      <c r="B348" s="127" t="inlineStr">
        <is>
          <t>Berkeley Haas</t>
        </is>
      </c>
      <c r="C348" s="127" t="inlineStr">
        <is>
          <t>Marketing</t>
        </is>
      </c>
      <c r="D348" s="127" t="inlineStr">
        <is>
          <t>Digital Marketing</t>
        </is>
      </c>
      <c r="E348" s="127" t="n">
        <v>4</v>
      </c>
      <c r="F348" s="127" t="inlineStr">
        <is>
          <t>Journal of Marketing Research; Journal of Marketing; Marketing Science; Journal of Consumer Research</t>
        </is>
      </c>
    </row>
    <row r="349" ht="37.5" customHeight="1" s="91">
      <c r="A349" s="128" t="n">
        <v>11</v>
      </c>
      <c r="B349" s="128" t="inlineStr">
        <is>
          <t>Berkeley Haas</t>
        </is>
      </c>
      <c r="C349" s="128" t="inlineStr">
        <is>
          <t>Marketing</t>
        </is>
      </c>
      <c r="D349" s="128" t="inlineStr">
        <is>
          <t>Brand Management</t>
        </is>
      </c>
      <c r="E349" s="128" t="n">
        <v>3</v>
      </c>
      <c r="F349" s="128" t="inlineStr">
        <is>
          <t>Journal of Marketing Research; Journal of Marketing; Marketing Science; Journal of Consumer Research</t>
        </is>
      </c>
    </row>
    <row r="350" ht="37.5" customHeight="1" s="91">
      <c r="A350" s="127" t="n">
        <v>11</v>
      </c>
      <c r="B350" s="127" t="inlineStr">
        <is>
          <t>Berkeley Haas</t>
        </is>
      </c>
      <c r="C350" s="127" t="inlineStr">
        <is>
          <t>Real Estate</t>
        </is>
      </c>
      <c r="D350" s="127" t="inlineStr">
        <is>
          <t>Theory</t>
        </is>
      </c>
      <c r="E350" s="127" t="n">
        <v>4</v>
      </c>
      <c r="F350" s="127" t="inlineStr">
        <is>
          <t>Management Science; Academy of Management Journal; Journal of Business Research; Strategic Management Journal</t>
        </is>
      </c>
    </row>
    <row r="351" ht="37.5" customHeight="1" s="91">
      <c r="A351" s="128" t="n">
        <v>11</v>
      </c>
      <c r="B351" s="128" t="inlineStr">
        <is>
          <t>Berkeley Haas</t>
        </is>
      </c>
      <c r="C351" s="128" t="inlineStr">
        <is>
          <t>Real Estate</t>
        </is>
      </c>
      <c r="D351" s="128" t="inlineStr">
        <is>
          <t>Empirical Research</t>
        </is>
      </c>
      <c r="E351" s="128" t="n">
        <v>3</v>
      </c>
      <c r="F351" s="128" t="inlineStr">
        <is>
          <t>Management Science; Academy of Management Journal; Journal of Business Research; Strategic Management Journal</t>
        </is>
      </c>
    </row>
    <row r="352" ht="37.5" customHeight="1" s="91">
      <c r="A352" s="127" t="n">
        <v>11</v>
      </c>
      <c r="B352" s="127" t="inlineStr">
        <is>
          <t>Berkeley Haas</t>
        </is>
      </c>
      <c r="C352" s="127" t="inlineStr">
        <is>
          <t>Real Estate</t>
        </is>
      </c>
      <c r="D352" s="127" t="inlineStr">
        <is>
          <t>Applied Research</t>
        </is>
      </c>
      <c r="E352" s="127" t="n">
        <v>3</v>
      </c>
      <c r="F352" s="127" t="inlineStr">
        <is>
          <t>Management Science; Academy of Management Journal; Journal of Business Research; Strategic Management Journal</t>
        </is>
      </c>
    </row>
    <row r="353" ht="37.5" customHeight="1" s="91">
      <c r="A353" s="128" t="n">
        <v>11</v>
      </c>
      <c r="B353" s="128" t="inlineStr">
        <is>
          <t>Berkeley Haas</t>
        </is>
      </c>
      <c r="C353" s="128" t="inlineStr">
        <is>
          <t>Real Estate</t>
        </is>
      </c>
      <c r="D353" s="128" t="inlineStr">
        <is>
          <t>Policy</t>
        </is>
      </c>
      <c r="E353" s="128" t="n">
        <v>3</v>
      </c>
      <c r="F353" s="128" t="inlineStr">
        <is>
          <t>Management Science; Academy of Management Journal; Journal of Business Research; Strategic Management Journal</t>
        </is>
      </c>
    </row>
    <row r="354" ht="37.5" customHeight="1" s="91">
      <c r="A354" s="127" t="n">
        <v>12</v>
      </c>
      <c r="B354" s="127" t="inlineStr">
        <is>
          <t>UVA Darden</t>
        </is>
      </c>
      <c r="C354" s="127" t="inlineStr">
        <is>
          <t>Accounting</t>
        </is>
      </c>
      <c r="D354" s="127" t="inlineStr">
        <is>
          <t>Financial Accounting</t>
        </is>
      </c>
      <c r="E354" s="127" t="n">
        <v>2</v>
      </c>
      <c r="F354" s="127" t="inlineStr">
        <is>
          <t>The Accounting Review; Journal of Accounting Research; Journal of Accounting &amp; Economics; Review of Accounting Studies</t>
        </is>
      </c>
    </row>
    <row r="355" ht="37.5" customHeight="1" s="91">
      <c r="A355" s="128" t="n">
        <v>12</v>
      </c>
      <c r="B355" s="128" t="inlineStr">
        <is>
          <t>UVA Darden</t>
        </is>
      </c>
      <c r="C355" s="128" t="inlineStr">
        <is>
          <t>Accounting</t>
        </is>
      </c>
      <c r="D355" s="128" t="inlineStr">
        <is>
          <t>Managerial Accounting</t>
        </is>
      </c>
      <c r="E355" s="128" t="n">
        <v>2</v>
      </c>
      <c r="F355" s="128" t="inlineStr">
        <is>
          <t>The Accounting Review; Journal of Accounting Research; Journal of Accounting &amp; Economics; Review of Accounting Studies</t>
        </is>
      </c>
    </row>
    <row r="356" ht="37.5" customHeight="1" s="91">
      <c r="A356" s="127" t="n">
        <v>12</v>
      </c>
      <c r="B356" s="127" t="inlineStr">
        <is>
          <t>UVA Darden</t>
        </is>
      </c>
      <c r="C356" s="127" t="inlineStr">
        <is>
          <t>Accounting</t>
        </is>
      </c>
      <c r="D356" s="127" t="inlineStr">
        <is>
          <t>Auditing &amp; Assurance</t>
        </is>
      </c>
      <c r="E356" s="127" t="n">
        <v>2</v>
      </c>
      <c r="F356" s="127" t="inlineStr">
        <is>
          <t>The Accounting Review; Journal of Accounting Research; Journal of Accounting &amp; Economics; Review of Accounting Studies</t>
        </is>
      </c>
    </row>
    <row r="357" ht="37.5" customHeight="1" s="91">
      <c r="A357" s="128" t="n">
        <v>12</v>
      </c>
      <c r="B357" s="128" t="inlineStr">
        <is>
          <t>UVA Darden</t>
        </is>
      </c>
      <c r="C357" s="128" t="inlineStr">
        <is>
          <t>Accounting</t>
        </is>
      </c>
      <c r="D357" s="128" t="inlineStr">
        <is>
          <t>Tax</t>
        </is>
      </c>
      <c r="E357" s="128" t="n">
        <v>2</v>
      </c>
      <c r="F357" s="128" t="inlineStr">
        <is>
          <t>The Accounting Review; Journal of Accounting Research; Journal of Accounting &amp; Economics; Review of Accounting Studies</t>
        </is>
      </c>
    </row>
    <row r="358" ht="37.5" customHeight="1" s="91">
      <c r="A358" s="127" t="n">
        <v>12</v>
      </c>
      <c r="B358" s="127" t="inlineStr">
        <is>
          <t>UVA Darden</t>
        </is>
      </c>
      <c r="C358" s="127" t="inlineStr">
        <is>
          <t>Data Analytics &amp; Decision Sciences</t>
        </is>
      </c>
      <c r="D358" s="127" t="inlineStr">
        <is>
          <t>Microeconomics</t>
        </is>
      </c>
      <c r="E358" s="127" t="n">
        <v>2</v>
      </c>
      <c r="F358" s="127" t="inlineStr">
        <is>
          <t>American Economic Review; Econometrica; Quarterly Journal of Economics; Review of Economic Studies</t>
        </is>
      </c>
    </row>
    <row r="359" ht="37.5" customHeight="1" s="91">
      <c r="A359" s="128" t="n">
        <v>12</v>
      </c>
      <c r="B359" s="128" t="inlineStr">
        <is>
          <t>UVA Darden</t>
        </is>
      </c>
      <c r="C359" s="128" t="inlineStr">
        <is>
          <t>Data Analytics &amp; Decision Sciences</t>
        </is>
      </c>
      <c r="D359" s="128" t="inlineStr">
        <is>
          <t>Macroeconomics</t>
        </is>
      </c>
      <c r="E359" s="128" t="n">
        <v>2</v>
      </c>
      <c r="F359" s="128" t="inlineStr">
        <is>
          <t>American Economic Review; Econometrica; Quarterly Journal of Economics; Review of Economic Studies</t>
        </is>
      </c>
    </row>
    <row r="360" ht="37.5" customHeight="1" s="91">
      <c r="A360" s="127" t="n">
        <v>12</v>
      </c>
      <c r="B360" s="127" t="inlineStr">
        <is>
          <t>UVA Darden</t>
        </is>
      </c>
      <c r="C360" s="127" t="inlineStr">
        <is>
          <t>Data Analytics &amp; Decision Sciences</t>
        </is>
      </c>
      <c r="D360" s="127" t="inlineStr">
        <is>
          <t>Applied Economics</t>
        </is>
      </c>
      <c r="E360" s="127" t="n">
        <v>2</v>
      </c>
      <c r="F360" s="127" t="inlineStr">
        <is>
          <t>American Economic Review; Econometrica; Quarterly Journal of Economics; Review of Economic Studies</t>
        </is>
      </c>
    </row>
    <row r="361" ht="37.5" customHeight="1" s="91">
      <c r="A361" s="128" t="n">
        <v>12</v>
      </c>
      <c r="B361" s="128" t="inlineStr">
        <is>
          <t>UVA Darden</t>
        </is>
      </c>
      <c r="C361" s="128" t="inlineStr">
        <is>
          <t>Data Analytics &amp; Decision Sciences</t>
        </is>
      </c>
      <c r="D361" s="128" t="inlineStr">
        <is>
          <t>Industrial Organization</t>
        </is>
      </c>
      <c r="E361" s="128" t="n">
        <v>2</v>
      </c>
      <c r="F361" s="128" t="inlineStr">
        <is>
          <t>American Economic Review; Econometrica; Quarterly Journal of Economics; Review of Economic Studies</t>
        </is>
      </c>
    </row>
    <row r="362" ht="37.5" customHeight="1" s="91">
      <c r="A362" s="127" t="n">
        <v>12</v>
      </c>
      <c r="B362" s="127" t="inlineStr">
        <is>
          <t>UVA Darden</t>
        </is>
      </c>
      <c r="C362" s="127" t="inlineStr">
        <is>
          <t>Global Economies &amp; Markets</t>
        </is>
      </c>
      <c r="D362" s="127" t="inlineStr">
        <is>
          <t>Theory</t>
        </is>
      </c>
      <c r="E362" s="127" t="n">
        <v>2</v>
      </c>
      <c r="F362" s="127" t="inlineStr">
        <is>
          <t>Management Science; Academy of Management Journal; Journal of Business Research; Strategic Management Journal</t>
        </is>
      </c>
    </row>
    <row r="363" ht="37.5" customHeight="1" s="91">
      <c r="A363" s="128" t="n">
        <v>12</v>
      </c>
      <c r="B363" s="128" t="inlineStr">
        <is>
          <t>UVA Darden</t>
        </is>
      </c>
      <c r="C363" s="128" t="inlineStr">
        <is>
          <t>Global Economies &amp; Markets</t>
        </is>
      </c>
      <c r="D363" s="128" t="inlineStr">
        <is>
          <t>Empirical Research</t>
        </is>
      </c>
      <c r="E363" s="128" t="n">
        <v>2</v>
      </c>
      <c r="F363" s="128" t="inlineStr">
        <is>
          <t>Management Science; Academy of Management Journal; Journal of Business Research; Strategic Management Journal</t>
        </is>
      </c>
    </row>
    <row r="364" ht="37.5" customHeight="1" s="91">
      <c r="A364" s="127" t="n">
        <v>12</v>
      </c>
      <c r="B364" s="127" t="inlineStr">
        <is>
          <t>UVA Darden</t>
        </is>
      </c>
      <c r="C364" s="127" t="inlineStr">
        <is>
          <t>Global Economies &amp; Markets</t>
        </is>
      </c>
      <c r="D364" s="127" t="inlineStr">
        <is>
          <t>Applied Research</t>
        </is>
      </c>
      <c r="E364" s="127" t="n">
        <v>2</v>
      </c>
      <c r="F364" s="127" t="inlineStr">
        <is>
          <t>Management Science; Academy of Management Journal; Journal of Business Research; Strategic Management Journal</t>
        </is>
      </c>
    </row>
    <row r="365" ht="37.5" customHeight="1" s="91">
      <c r="A365" s="128" t="n">
        <v>12</v>
      </c>
      <c r="B365" s="128" t="inlineStr">
        <is>
          <t>UVA Darden</t>
        </is>
      </c>
      <c r="C365" s="128" t="inlineStr">
        <is>
          <t>Global Economies &amp; Markets</t>
        </is>
      </c>
      <c r="D365" s="128" t="inlineStr">
        <is>
          <t>Policy</t>
        </is>
      </c>
      <c r="E365" s="128" t="n">
        <v>2</v>
      </c>
      <c r="F365" s="128" t="inlineStr">
        <is>
          <t>Management Science; Academy of Management Journal; Journal of Business Research; Strategic Management Journal</t>
        </is>
      </c>
    </row>
    <row r="366" ht="37.5" customHeight="1" s="91">
      <c r="A366" s="127" t="n">
        <v>12</v>
      </c>
      <c r="B366" s="127" t="inlineStr">
        <is>
          <t>UVA Darden</t>
        </is>
      </c>
      <c r="C366" s="127" t="inlineStr">
        <is>
          <t>Leadership &amp; Organizational Behavior</t>
        </is>
      </c>
      <c r="D366" s="127" t="inlineStr">
        <is>
          <t>Organizational Behavior</t>
        </is>
      </c>
      <c r="E366" s="127" t="n">
        <v>2</v>
      </c>
      <c r="F366" s="127" t="inlineStr">
        <is>
          <t>Academy of Management Journal; Organization Science; Administrative Science Quarterly; Journal of Applied Psychology</t>
        </is>
      </c>
    </row>
    <row r="367" ht="37.5" customHeight="1" s="91">
      <c r="A367" s="128" t="n">
        <v>12</v>
      </c>
      <c r="B367" s="128" t="inlineStr">
        <is>
          <t>UVA Darden</t>
        </is>
      </c>
      <c r="C367" s="128" t="inlineStr">
        <is>
          <t>Leadership &amp; Organizational Behavior</t>
        </is>
      </c>
      <c r="D367" s="128" t="inlineStr">
        <is>
          <t>Human Resources</t>
        </is>
      </c>
      <c r="E367" s="128" t="n">
        <v>2</v>
      </c>
      <c r="F367" s="128" t="inlineStr">
        <is>
          <t>Academy of Management Journal; Organization Science; Administrative Science Quarterly; Journal of Applied Psychology</t>
        </is>
      </c>
    </row>
    <row r="368" ht="37.5" customHeight="1" s="91">
      <c r="A368" s="127" t="n">
        <v>12</v>
      </c>
      <c r="B368" s="127" t="inlineStr">
        <is>
          <t>UVA Darden</t>
        </is>
      </c>
      <c r="C368" s="127" t="inlineStr">
        <is>
          <t>Leadership &amp; Organizational Behavior</t>
        </is>
      </c>
      <c r="D368" s="127" t="inlineStr">
        <is>
          <t>Leadership &amp; Teams</t>
        </is>
      </c>
      <c r="E368" s="127" t="n">
        <v>2</v>
      </c>
      <c r="F368" s="127" t="inlineStr">
        <is>
          <t>Academy of Management Journal; Organization Science; Administrative Science Quarterly; Journal of Applied Psychology</t>
        </is>
      </c>
    </row>
    <row r="369" ht="37.5" customHeight="1" s="91">
      <c r="A369" s="128" t="n">
        <v>12</v>
      </c>
      <c r="B369" s="128" t="inlineStr">
        <is>
          <t>UVA Darden</t>
        </is>
      </c>
      <c r="C369" s="128" t="inlineStr">
        <is>
          <t>Leadership &amp; Organizational Behavior</t>
        </is>
      </c>
      <c r="D369" s="128" t="inlineStr">
        <is>
          <t>Diversity &amp; Inclusion</t>
        </is>
      </c>
      <c r="E369" s="128" t="n">
        <v>2</v>
      </c>
      <c r="F369" s="128" t="inlineStr">
        <is>
          <t>Academy of Management Journal; Organization Science; Administrative Science Quarterly; Journal of Applied Psychology</t>
        </is>
      </c>
    </row>
    <row r="370" ht="37.5" customHeight="1" s="91">
      <c r="A370" s="127" t="n">
        <v>12</v>
      </c>
      <c r="B370" s="127" t="inlineStr">
        <is>
          <t>UVA Darden</t>
        </is>
      </c>
      <c r="C370" s="127" t="inlineStr">
        <is>
          <t>Strategy, Ethics &amp; Entrepreneurship</t>
        </is>
      </c>
      <c r="D370" s="127" t="inlineStr">
        <is>
          <t>Competitive Strategy</t>
        </is>
      </c>
      <c r="E370" s="127" t="n">
        <v>3</v>
      </c>
      <c r="F370" s="127" t="inlineStr">
        <is>
          <t>Strategic Management Journal; Academy of Management Review; Organization Science; Journal of Economics &amp; Management Strategy</t>
        </is>
      </c>
    </row>
    <row r="371" ht="37.5" customHeight="1" s="91">
      <c r="A371" s="128" t="n">
        <v>12</v>
      </c>
      <c r="B371" s="128" t="inlineStr">
        <is>
          <t>UVA Darden</t>
        </is>
      </c>
      <c r="C371" s="128" t="inlineStr">
        <is>
          <t>Strategy, Ethics &amp; Entrepreneurship</t>
        </is>
      </c>
      <c r="D371" s="128" t="inlineStr">
        <is>
          <t>Corporate Strategy</t>
        </is>
      </c>
      <c r="E371" s="128" t="n">
        <v>2</v>
      </c>
      <c r="F371" s="128" t="inlineStr">
        <is>
          <t>Strategic Management Journal; Academy of Management Review; Organization Science; Journal of Economics &amp; Management Strategy</t>
        </is>
      </c>
    </row>
    <row r="372" ht="37.5" customHeight="1" s="91">
      <c r="A372" s="127" t="n">
        <v>12</v>
      </c>
      <c r="B372" s="127" t="inlineStr">
        <is>
          <t>UVA Darden</t>
        </is>
      </c>
      <c r="C372" s="127" t="inlineStr">
        <is>
          <t>Strategy, Ethics &amp; Entrepreneurship</t>
        </is>
      </c>
      <c r="D372" s="127" t="inlineStr">
        <is>
          <t>Innovation</t>
        </is>
      </c>
      <c r="E372" s="127" t="n">
        <v>2</v>
      </c>
      <c r="F372" s="127" t="inlineStr">
        <is>
          <t>Strategic Management Journal; Academy of Management Review; Organization Science; Journal of Economics &amp; Management Strategy</t>
        </is>
      </c>
    </row>
    <row r="373" ht="37.5" customHeight="1" s="91">
      <c r="A373" s="128" t="n">
        <v>12</v>
      </c>
      <c r="B373" s="128" t="inlineStr">
        <is>
          <t>UVA Darden</t>
        </is>
      </c>
      <c r="C373" s="128" t="inlineStr">
        <is>
          <t>Strategy, Ethics &amp; Entrepreneurship</t>
        </is>
      </c>
      <c r="D373" s="128" t="inlineStr">
        <is>
          <t>Strategic Management</t>
        </is>
      </c>
      <c r="E373" s="128" t="n">
        <v>2</v>
      </c>
      <c r="F373" s="128" t="inlineStr">
        <is>
          <t>Strategic Management Journal; Academy of Management Review; Organization Science; Journal of Economics &amp; Management Strategy</t>
        </is>
      </c>
    </row>
    <row r="374" ht="37.5" customHeight="1" s="91">
      <c r="A374" s="127" t="n">
        <v>12</v>
      </c>
      <c r="B374" s="127" t="inlineStr">
        <is>
          <t>UVA Darden</t>
        </is>
      </c>
      <c r="C374" s="127" t="inlineStr">
        <is>
          <t>Technology &amp; Operations Management</t>
        </is>
      </c>
      <c r="D374" s="127" t="inlineStr">
        <is>
          <t>Supply Chain Management</t>
        </is>
      </c>
      <c r="E374" s="127" t="n">
        <v>3</v>
      </c>
      <c r="F374" s="127" t="inlineStr">
        <is>
          <t>Management Science; Operations Research; Manufacturing &amp; Service Operations Management; Production &amp; Operations Management</t>
        </is>
      </c>
    </row>
    <row r="375" ht="37.5" customHeight="1" s="91">
      <c r="A375" s="128" t="n">
        <v>12</v>
      </c>
      <c r="B375" s="128" t="inlineStr">
        <is>
          <t>UVA Darden</t>
        </is>
      </c>
      <c r="C375" s="128" t="inlineStr">
        <is>
          <t>Technology &amp; Operations Management</t>
        </is>
      </c>
      <c r="D375" s="128" t="inlineStr">
        <is>
          <t>Operations Research</t>
        </is>
      </c>
      <c r="E375" s="128" t="n">
        <v>2</v>
      </c>
      <c r="F375" s="128" t="inlineStr">
        <is>
          <t>Management Science; Operations Research; Manufacturing &amp; Service Operations Management; Production &amp; Operations Management</t>
        </is>
      </c>
    </row>
    <row r="376" ht="37.5" customHeight="1" s="91">
      <c r="A376" s="127" t="n">
        <v>12</v>
      </c>
      <c r="B376" s="127" t="inlineStr">
        <is>
          <t>UVA Darden</t>
        </is>
      </c>
      <c r="C376" s="127" t="inlineStr">
        <is>
          <t>Technology &amp; Operations Management</t>
        </is>
      </c>
      <c r="D376" s="127" t="inlineStr">
        <is>
          <t>Process Optimization</t>
        </is>
      </c>
      <c r="E376" s="127" t="n">
        <v>2</v>
      </c>
      <c r="F376" s="127" t="inlineStr">
        <is>
          <t>Management Science; Operations Research; Manufacturing &amp; Service Operations Management; Production &amp; Operations Management</t>
        </is>
      </c>
    </row>
    <row r="377" ht="37.5" customHeight="1" s="91">
      <c r="A377" s="128" t="n">
        <v>12</v>
      </c>
      <c r="B377" s="128" t="inlineStr">
        <is>
          <t>UVA Darden</t>
        </is>
      </c>
      <c r="C377" s="128" t="inlineStr">
        <is>
          <t>Technology &amp; Operations Management</t>
        </is>
      </c>
      <c r="D377" s="128" t="inlineStr">
        <is>
          <t>Analytics</t>
        </is>
      </c>
      <c r="E377" s="128" t="n">
        <v>2</v>
      </c>
      <c r="F377" s="128" t="inlineStr">
        <is>
          <t>Management Science; Operations Research; Manufacturing &amp; Service Operations Management; Production &amp; Operations Management</t>
        </is>
      </c>
    </row>
    <row r="378" ht="37.5" customHeight="1" s="91">
      <c r="A378" s="127" t="n">
        <v>13</v>
      </c>
      <c r="B378" s="127" t="inlineStr">
        <is>
          <t>Michigan Ross</t>
        </is>
      </c>
      <c r="C378" s="127" t="inlineStr">
        <is>
          <t>Accounting</t>
        </is>
      </c>
      <c r="D378" s="127" t="inlineStr">
        <is>
          <t>Financial Accounting</t>
        </is>
      </c>
      <c r="E378" s="127" t="n">
        <v>3</v>
      </c>
      <c r="F378" s="127" t="inlineStr">
        <is>
          <t>The Accounting Review; Journal of Accounting Research; Journal of Accounting &amp; Economics; Review of Accounting Studies</t>
        </is>
      </c>
    </row>
    <row r="379" ht="37.5" customHeight="1" s="91">
      <c r="A379" s="128" t="n">
        <v>13</v>
      </c>
      <c r="B379" s="128" t="inlineStr">
        <is>
          <t>Michigan Ross</t>
        </is>
      </c>
      <c r="C379" s="128" t="inlineStr">
        <is>
          <t>Accounting</t>
        </is>
      </c>
      <c r="D379" s="128" t="inlineStr">
        <is>
          <t>Managerial Accounting</t>
        </is>
      </c>
      <c r="E379" s="128" t="n">
        <v>3</v>
      </c>
      <c r="F379" s="128" t="inlineStr">
        <is>
          <t>The Accounting Review; Journal of Accounting Research; Journal of Accounting &amp; Economics; Review of Accounting Studies</t>
        </is>
      </c>
    </row>
    <row r="380" ht="37.5" customHeight="1" s="91">
      <c r="A380" s="127" t="n">
        <v>13</v>
      </c>
      <c r="B380" s="127" t="inlineStr">
        <is>
          <t>Michigan Ross</t>
        </is>
      </c>
      <c r="C380" s="127" t="inlineStr">
        <is>
          <t>Accounting</t>
        </is>
      </c>
      <c r="D380" s="127" t="inlineStr">
        <is>
          <t>Auditing &amp; Assurance</t>
        </is>
      </c>
      <c r="E380" s="127" t="n">
        <v>2</v>
      </c>
      <c r="F380" s="127" t="inlineStr">
        <is>
          <t>The Accounting Review; Journal of Accounting Research; Journal of Accounting &amp; Economics; Review of Accounting Studies</t>
        </is>
      </c>
    </row>
    <row r="381" ht="37.5" customHeight="1" s="91">
      <c r="A381" s="128" t="n">
        <v>13</v>
      </c>
      <c r="B381" s="128" t="inlineStr">
        <is>
          <t>Michigan Ross</t>
        </is>
      </c>
      <c r="C381" s="128" t="inlineStr">
        <is>
          <t>Accounting</t>
        </is>
      </c>
      <c r="D381" s="128" t="inlineStr">
        <is>
          <t>Tax</t>
        </is>
      </c>
      <c r="E381" s="128" t="n">
        <v>2</v>
      </c>
      <c r="F381" s="128" t="inlineStr">
        <is>
          <t>The Accounting Review; Journal of Accounting Research; Journal of Accounting &amp; Economics; Review of Accounting Studies</t>
        </is>
      </c>
    </row>
    <row r="382" ht="37.5" customHeight="1" s="91">
      <c r="A382" s="127" t="n">
        <v>13</v>
      </c>
      <c r="B382" s="127" t="inlineStr">
        <is>
          <t>Michigan Ross</t>
        </is>
      </c>
      <c r="C382" s="127" t="inlineStr">
        <is>
          <t>Business Economics &amp; Public Policy</t>
        </is>
      </c>
      <c r="D382" s="127" t="inlineStr">
        <is>
          <t>Microeconomics</t>
        </is>
      </c>
      <c r="E382" s="127" t="n">
        <v>3</v>
      </c>
      <c r="F382" s="127" t="inlineStr">
        <is>
          <t>American Economic Review; Econometrica; Quarterly Journal of Economics; Review of Economic Studies</t>
        </is>
      </c>
    </row>
    <row r="383" ht="37.5" customHeight="1" s="91">
      <c r="A383" s="128" t="n">
        <v>13</v>
      </c>
      <c r="B383" s="128" t="inlineStr">
        <is>
          <t>Michigan Ross</t>
        </is>
      </c>
      <c r="C383" s="128" t="inlineStr">
        <is>
          <t>Business Economics &amp; Public Policy</t>
        </is>
      </c>
      <c r="D383" s="128" t="inlineStr">
        <is>
          <t>Macroeconomics</t>
        </is>
      </c>
      <c r="E383" s="128" t="n">
        <v>3</v>
      </c>
      <c r="F383" s="128" t="inlineStr">
        <is>
          <t>American Economic Review; Econometrica; Quarterly Journal of Economics; Review of Economic Studies</t>
        </is>
      </c>
    </row>
    <row r="384" ht="37.5" customHeight="1" s="91">
      <c r="A384" s="127" t="n">
        <v>13</v>
      </c>
      <c r="B384" s="127" t="inlineStr">
        <is>
          <t>Michigan Ross</t>
        </is>
      </c>
      <c r="C384" s="127" t="inlineStr">
        <is>
          <t>Business Economics &amp; Public Policy</t>
        </is>
      </c>
      <c r="D384" s="127" t="inlineStr">
        <is>
          <t>Applied Economics</t>
        </is>
      </c>
      <c r="E384" s="127" t="n">
        <v>3</v>
      </c>
      <c r="F384" s="127" t="inlineStr">
        <is>
          <t>American Economic Review; Econometrica; Quarterly Journal of Economics; Review of Economic Studies</t>
        </is>
      </c>
    </row>
    <row r="385" ht="37.5" customHeight="1" s="91">
      <c r="A385" s="128" t="n">
        <v>13</v>
      </c>
      <c r="B385" s="128" t="inlineStr">
        <is>
          <t>Michigan Ross</t>
        </is>
      </c>
      <c r="C385" s="128" t="inlineStr">
        <is>
          <t>Business Economics &amp; Public Policy</t>
        </is>
      </c>
      <c r="D385" s="128" t="inlineStr">
        <is>
          <t>Industrial Organization</t>
        </is>
      </c>
      <c r="E385" s="128" t="n">
        <v>2</v>
      </c>
      <c r="F385" s="128" t="inlineStr">
        <is>
          <t>American Economic Review; Econometrica; Quarterly Journal of Economics; Review of Economic Studies</t>
        </is>
      </c>
    </row>
    <row r="386" ht="37.5" customHeight="1" s="91">
      <c r="A386" s="127" t="n">
        <v>13</v>
      </c>
      <c r="B386" s="127" t="inlineStr">
        <is>
          <t>Michigan Ross</t>
        </is>
      </c>
      <c r="C386" s="127" t="inlineStr">
        <is>
          <t>Finance</t>
        </is>
      </c>
      <c r="D386" s="127" t="inlineStr">
        <is>
          <t>Corporate Finance</t>
        </is>
      </c>
      <c r="E386" s="127" t="n">
        <v>4</v>
      </c>
      <c r="F386" s="127" t="inlineStr">
        <is>
          <t>Journal of Finance; Review of Financial Studies; Journal of Financial Economics; Journal of Financial &amp; Quantitative Analysis</t>
        </is>
      </c>
    </row>
    <row r="387" ht="37.5" customHeight="1" s="91">
      <c r="A387" s="128" t="n">
        <v>13</v>
      </c>
      <c r="B387" s="128" t="inlineStr">
        <is>
          <t>Michigan Ross</t>
        </is>
      </c>
      <c r="C387" s="128" t="inlineStr">
        <is>
          <t>Finance</t>
        </is>
      </c>
      <c r="D387" s="128" t="inlineStr">
        <is>
          <t>Asset Pricing</t>
        </is>
      </c>
      <c r="E387" s="128" t="n">
        <v>3</v>
      </c>
      <c r="F387" s="128" t="inlineStr">
        <is>
          <t>Journal of Finance; Review of Financial Studies; Journal of Financial Economics; Journal of Financial &amp; Quantitative Analysis</t>
        </is>
      </c>
    </row>
    <row r="388" ht="37.5" customHeight="1" s="91">
      <c r="A388" s="127" t="n">
        <v>13</v>
      </c>
      <c r="B388" s="127" t="inlineStr">
        <is>
          <t>Michigan Ross</t>
        </is>
      </c>
      <c r="C388" s="127" t="inlineStr">
        <is>
          <t>Finance</t>
        </is>
      </c>
      <c r="D388" s="127" t="inlineStr">
        <is>
          <t>Banking &amp; Financial Institutions</t>
        </is>
      </c>
      <c r="E388" s="127" t="n">
        <v>3</v>
      </c>
      <c r="F388" s="127" t="inlineStr">
        <is>
          <t>Journal of Finance; Review of Financial Studies; Journal of Financial Economics; Journal of Financial &amp; Quantitative Analysis</t>
        </is>
      </c>
    </row>
    <row r="389" ht="37.5" customHeight="1" s="91">
      <c r="A389" s="128" t="n">
        <v>13</v>
      </c>
      <c r="B389" s="128" t="inlineStr">
        <is>
          <t>Michigan Ross</t>
        </is>
      </c>
      <c r="C389" s="128" t="inlineStr">
        <is>
          <t>Finance</t>
        </is>
      </c>
      <c r="D389" s="128" t="inlineStr">
        <is>
          <t>International Finance</t>
        </is>
      </c>
      <c r="E389" s="128" t="n">
        <v>3</v>
      </c>
      <c r="F389" s="128" t="inlineStr">
        <is>
          <t>Journal of Finance; Review of Financial Studies; Journal of Financial Economics; Journal of Financial &amp; Quantitative Analysis</t>
        </is>
      </c>
    </row>
    <row r="390" ht="37.5" customHeight="1" s="91">
      <c r="A390" s="127" t="n">
        <v>13</v>
      </c>
      <c r="B390" s="127" t="inlineStr">
        <is>
          <t>Michigan Ross</t>
        </is>
      </c>
      <c r="C390" s="127" t="inlineStr">
        <is>
          <t>Management &amp; Organizations</t>
        </is>
      </c>
      <c r="D390" s="127" t="inlineStr">
        <is>
          <t>Organizational Behavior</t>
        </is>
      </c>
      <c r="E390" s="127" t="n">
        <v>3</v>
      </c>
      <c r="F390" s="127" t="inlineStr">
        <is>
          <t>Academy of Management Journal; Organization Science; Administrative Science Quarterly; Journal of Applied Psychology</t>
        </is>
      </c>
    </row>
    <row r="391" ht="37.5" customHeight="1" s="91">
      <c r="A391" s="128" t="n">
        <v>13</v>
      </c>
      <c r="B391" s="128" t="inlineStr">
        <is>
          <t>Michigan Ross</t>
        </is>
      </c>
      <c r="C391" s="128" t="inlineStr">
        <is>
          <t>Management &amp; Organizations</t>
        </is>
      </c>
      <c r="D391" s="128" t="inlineStr">
        <is>
          <t>Human Resources</t>
        </is>
      </c>
      <c r="E391" s="128" t="n">
        <v>3</v>
      </c>
      <c r="F391" s="128" t="inlineStr">
        <is>
          <t>Academy of Management Journal; Organization Science; Administrative Science Quarterly; Journal of Applied Psychology</t>
        </is>
      </c>
    </row>
    <row r="392" ht="37.5" customHeight="1" s="91">
      <c r="A392" s="127" t="n">
        <v>13</v>
      </c>
      <c r="B392" s="127" t="inlineStr">
        <is>
          <t>Michigan Ross</t>
        </is>
      </c>
      <c r="C392" s="127" t="inlineStr">
        <is>
          <t>Management &amp; Organizations</t>
        </is>
      </c>
      <c r="D392" s="127" t="inlineStr">
        <is>
          <t>Leadership &amp; Teams</t>
        </is>
      </c>
      <c r="E392" s="127" t="n">
        <v>3</v>
      </c>
      <c r="F392" s="127" t="inlineStr">
        <is>
          <t>Academy of Management Journal; Organization Science; Administrative Science Quarterly; Journal of Applied Psychology</t>
        </is>
      </c>
    </row>
    <row r="393" ht="37.5" customHeight="1" s="91">
      <c r="A393" s="128" t="n">
        <v>13</v>
      </c>
      <c r="B393" s="128" t="inlineStr">
        <is>
          <t>Michigan Ross</t>
        </is>
      </c>
      <c r="C393" s="128" t="inlineStr">
        <is>
          <t>Management &amp; Organizations</t>
        </is>
      </c>
      <c r="D393" s="128" t="inlineStr">
        <is>
          <t>Diversity &amp; Inclusion</t>
        </is>
      </c>
      <c r="E393" s="128" t="n">
        <v>2</v>
      </c>
      <c r="F393" s="128" t="inlineStr">
        <is>
          <t>Academy of Management Journal; Organization Science; Administrative Science Quarterly; Journal of Applied Psychology</t>
        </is>
      </c>
    </row>
    <row r="394" ht="37.5" customHeight="1" s="91">
      <c r="A394" s="127" t="n">
        <v>13</v>
      </c>
      <c r="B394" s="127" t="inlineStr">
        <is>
          <t>Michigan Ross</t>
        </is>
      </c>
      <c r="C394" s="127" t="inlineStr">
        <is>
          <t>Marketing</t>
        </is>
      </c>
      <c r="D394" s="127" t="inlineStr">
        <is>
          <t>Consumer Behavior</t>
        </is>
      </c>
      <c r="E394" s="127" t="n">
        <v>3</v>
      </c>
      <c r="F394" s="127" t="inlineStr">
        <is>
          <t>Journal of Marketing Research; Journal of Marketing; Marketing Science; Journal of Consumer Research</t>
        </is>
      </c>
    </row>
    <row r="395" ht="37.5" customHeight="1" s="91">
      <c r="A395" s="128" t="n">
        <v>13</v>
      </c>
      <c r="B395" s="128" t="inlineStr">
        <is>
          <t>Michigan Ross</t>
        </is>
      </c>
      <c r="C395" s="128" t="inlineStr">
        <is>
          <t>Marketing</t>
        </is>
      </c>
      <c r="D395" s="128" t="inlineStr">
        <is>
          <t>Marketing Analytics</t>
        </is>
      </c>
      <c r="E395" s="128" t="n">
        <v>3</v>
      </c>
      <c r="F395" s="128" t="inlineStr">
        <is>
          <t>Journal of Marketing Research; Journal of Marketing; Marketing Science; Journal of Consumer Research</t>
        </is>
      </c>
    </row>
    <row r="396" ht="37.5" customHeight="1" s="91">
      <c r="A396" s="127" t="n">
        <v>13</v>
      </c>
      <c r="B396" s="127" t="inlineStr">
        <is>
          <t>Michigan Ross</t>
        </is>
      </c>
      <c r="C396" s="127" t="inlineStr">
        <is>
          <t>Marketing</t>
        </is>
      </c>
      <c r="D396" s="127" t="inlineStr">
        <is>
          <t>Digital Marketing</t>
        </is>
      </c>
      <c r="E396" s="127" t="n">
        <v>3</v>
      </c>
      <c r="F396" s="127" t="inlineStr">
        <is>
          <t>Journal of Marketing Research; Journal of Marketing; Marketing Science; Journal of Consumer Research</t>
        </is>
      </c>
    </row>
    <row r="397" ht="37.5" customHeight="1" s="91">
      <c r="A397" s="128" t="n">
        <v>13</v>
      </c>
      <c r="B397" s="128" t="inlineStr">
        <is>
          <t>Michigan Ross</t>
        </is>
      </c>
      <c r="C397" s="128" t="inlineStr">
        <is>
          <t>Marketing</t>
        </is>
      </c>
      <c r="D397" s="128" t="inlineStr">
        <is>
          <t>Brand Management</t>
        </is>
      </c>
      <c r="E397" s="128" t="n">
        <v>2</v>
      </c>
      <c r="F397" s="128" t="inlineStr">
        <is>
          <t>Journal of Marketing Research; Journal of Marketing; Marketing Science; Journal of Consumer Research</t>
        </is>
      </c>
    </row>
    <row r="398" ht="37.5" customHeight="1" s="91">
      <c r="A398" s="127" t="n">
        <v>13</v>
      </c>
      <c r="B398" s="127" t="inlineStr">
        <is>
          <t>Michigan Ross</t>
        </is>
      </c>
      <c r="C398" s="127" t="inlineStr">
        <is>
          <t>Strategy</t>
        </is>
      </c>
      <c r="D398" s="127" t="inlineStr">
        <is>
          <t>Competitive Strategy</t>
        </is>
      </c>
      <c r="E398" s="127" t="n">
        <v>3</v>
      </c>
      <c r="F398" s="127" t="inlineStr">
        <is>
          <t>Strategic Management Journal; Academy of Management Review; Organization Science; Journal of Economics &amp; Management Strategy</t>
        </is>
      </c>
    </row>
    <row r="399" ht="37.5" customHeight="1" s="91">
      <c r="A399" s="128" t="n">
        <v>13</v>
      </c>
      <c r="B399" s="128" t="inlineStr">
        <is>
          <t>Michigan Ross</t>
        </is>
      </c>
      <c r="C399" s="128" t="inlineStr">
        <is>
          <t>Strategy</t>
        </is>
      </c>
      <c r="D399" s="128" t="inlineStr">
        <is>
          <t>Corporate Strategy</t>
        </is>
      </c>
      <c r="E399" s="128" t="n">
        <v>3</v>
      </c>
      <c r="F399" s="128" t="inlineStr">
        <is>
          <t>Strategic Management Journal; Academy of Management Review; Organization Science; Journal of Economics &amp; Management Strategy</t>
        </is>
      </c>
    </row>
    <row r="400" ht="37.5" customHeight="1" s="91">
      <c r="A400" s="127" t="n">
        <v>13</v>
      </c>
      <c r="B400" s="127" t="inlineStr">
        <is>
          <t>Michigan Ross</t>
        </is>
      </c>
      <c r="C400" s="127" t="inlineStr">
        <is>
          <t>Strategy</t>
        </is>
      </c>
      <c r="D400" s="127" t="inlineStr">
        <is>
          <t>Innovation</t>
        </is>
      </c>
      <c r="E400" s="127" t="n">
        <v>2</v>
      </c>
      <c r="F400" s="127" t="inlineStr">
        <is>
          <t>Strategic Management Journal; Academy of Management Review; Organization Science; Journal of Economics &amp; Management Strategy</t>
        </is>
      </c>
    </row>
    <row r="401" ht="37.5" customHeight="1" s="91">
      <c r="A401" s="128" t="n">
        <v>13</v>
      </c>
      <c r="B401" s="128" t="inlineStr">
        <is>
          <t>Michigan Ross</t>
        </is>
      </c>
      <c r="C401" s="128" t="inlineStr">
        <is>
          <t>Strategy</t>
        </is>
      </c>
      <c r="D401" s="128" t="inlineStr">
        <is>
          <t>Strategic Management</t>
        </is>
      </c>
      <c r="E401" s="128" t="n">
        <v>2</v>
      </c>
      <c r="F401" s="128" t="inlineStr">
        <is>
          <t>Strategic Management Journal; Academy of Management Review; Organization Science; Journal of Economics &amp; Management Strategy</t>
        </is>
      </c>
    </row>
    <row r="402" ht="37.5" customHeight="1" s="91">
      <c r="A402" s="127" t="n">
        <v>13</v>
      </c>
      <c r="B402" s="127" t="inlineStr">
        <is>
          <t>Michigan Ross</t>
        </is>
      </c>
      <c r="C402" s="127" t="inlineStr">
        <is>
          <t>Technology &amp; Operations</t>
        </is>
      </c>
      <c r="D402" s="127" t="inlineStr">
        <is>
          <t>Supply Chain Management</t>
        </is>
      </c>
      <c r="E402" s="127" t="n">
        <v>2</v>
      </c>
      <c r="F402" s="127" t="inlineStr">
        <is>
          <t>Management Science; Operations Research; Manufacturing &amp; Service Operations Management; Production &amp; Operations Management</t>
        </is>
      </c>
    </row>
    <row r="403" ht="37.5" customHeight="1" s="91">
      <c r="A403" s="128" t="n">
        <v>13</v>
      </c>
      <c r="B403" s="128" t="inlineStr">
        <is>
          <t>Michigan Ross</t>
        </is>
      </c>
      <c r="C403" s="128" t="inlineStr">
        <is>
          <t>Technology &amp; Operations</t>
        </is>
      </c>
      <c r="D403" s="128" t="inlineStr">
        <is>
          <t>Operations Research</t>
        </is>
      </c>
      <c r="E403" s="128" t="n">
        <v>2</v>
      </c>
      <c r="F403" s="128" t="inlineStr">
        <is>
          <t>Management Science; Operations Research; Manufacturing &amp; Service Operations Management; Production &amp; Operations Management</t>
        </is>
      </c>
    </row>
    <row r="404" ht="37.5" customHeight="1" s="91">
      <c r="A404" s="127" t="n">
        <v>13</v>
      </c>
      <c r="B404" s="127" t="inlineStr">
        <is>
          <t>Michigan Ross</t>
        </is>
      </c>
      <c r="C404" s="127" t="inlineStr">
        <is>
          <t>Technology &amp; Operations</t>
        </is>
      </c>
      <c r="D404" s="127" t="inlineStr">
        <is>
          <t>Process Optimization</t>
        </is>
      </c>
      <c r="E404" s="127" t="n">
        <v>2</v>
      </c>
      <c r="F404" s="127" t="inlineStr">
        <is>
          <t>Management Science; Operations Research; Manufacturing &amp; Service Operations Management; Production &amp; Operations Management</t>
        </is>
      </c>
    </row>
    <row r="405" ht="37.5" customHeight="1" s="91">
      <c r="A405" s="128" t="n">
        <v>13</v>
      </c>
      <c r="B405" s="128" t="inlineStr">
        <is>
          <t>Michigan Ross</t>
        </is>
      </c>
      <c r="C405" s="128" t="inlineStr">
        <is>
          <t>Technology &amp; Operations</t>
        </is>
      </c>
      <c r="D405" s="128" t="inlineStr">
        <is>
          <t>Analytics</t>
        </is>
      </c>
      <c r="E405" s="128" t="n">
        <v>2</v>
      </c>
      <c r="F405" s="128" t="inlineStr">
        <is>
          <t>Management Science; Operations Research; Manufacturing &amp; Service Operations Management; Production &amp; Operations Management</t>
        </is>
      </c>
    </row>
    <row r="406" ht="37.5" customHeight="1" s="91">
      <c r="A406" s="127" t="n">
        <v>14</v>
      </c>
      <c r="B406" s="127" t="inlineStr">
        <is>
          <t>Duke Fuqua</t>
        </is>
      </c>
      <c r="C406" s="127" t="inlineStr">
        <is>
          <t>Accounting</t>
        </is>
      </c>
      <c r="D406" s="127" t="inlineStr">
        <is>
          <t>Financial Accounting</t>
        </is>
      </c>
      <c r="E406" s="127" t="n">
        <v>2</v>
      </c>
      <c r="F406" s="127" t="inlineStr">
        <is>
          <t>The Accounting Review; Journal of Accounting Research; Journal of Accounting &amp; Economics; Review of Accounting Studies</t>
        </is>
      </c>
    </row>
    <row r="407" ht="37.5" customHeight="1" s="91">
      <c r="A407" s="128" t="n">
        <v>14</v>
      </c>
      <c r="B407" s="128" t="inlineStr">
        <is>
          <t>Duke Fuqua</t>
        </is>
      </c>
      <c r="C407" s="128" t="inlineStr">
        <is>
          <t>Accounting</t>
        </is>
      </c>
      <c r="D407" s="128" t="inlineStr">
        <is>
          <t>Managerial Accounting</t>
        </is>
      </c>
      <c r="E407" s="128" t="n">
        <v>1</v>
      </c>
      <c r="F407" s="128" t="inlineStr">
        <is>
          <t>The Accounting Review; Journal of Accounting Research; Journal of Accounting &amp; Economics; Review of Accounting Studies</t>
        </is>
      </c>
    </row>
    <row r="408" ht="37.5" customHeight="1" s="91">
      <c r="A408" s="127" t="n">
        <v>14</v>
      </c>
      <c r="B408" s="127" t="inlineStr">
        <is>
          <t>Duke Fuqua</t>
        </is>
      </c>
      <c r="C408" s="127" t="inlineStr">
        <is>
          <t>Accounting</t>
        </is>
      </c>
      <c r="D408" s="127" t="inlineStr">
        <is>
          <t>Auditing &amp; Assurance</t>
        </is>
      </c>
      <c r="E408" s="127" t="n">
        <v>1</v>
      </c>
      <c r="F408" s="127" t="inlineStr">
        <is>
          <t>The Accounting Review; Journal of Accounting Research; Journal of Accounting &amp; Economics; Review of Accounting Studies</t>
        </is>
      </c>
    </row>
    <row r="409" ht="37.5" customHeight="1" s="91">
      <c r="A409" s="128" t="n">
        <v>14</v>
      </c>
      <c r="B409" s="128" t="inlineStr">
        <is>
          <t>Duke Fuqua</t>
        </is>
      </c>
      <c r="C409" s="128" t="inlineStr">
        <is>
          <t>Accounting</t>
        </is>
      </c>
      <c r="D409" s="128" t="inlineStr">
        <is>
          <t>Tax</t>
        </is>
      </c>
      <c r="E409" s="128" t="n">
        <v>1</v>
      </c>
      <c r="F409" s="128" t="inlineStr">
        <is>
          <t>The Accounting Review; Journal of Accounting Research; Journal of Accounting &amp; Economics; Review of Accounting Studies</t>
        </is>
      </c>
    </row>
    <row r="410" ht="37.5" customHeight="1" s="91">
      <c r="A410" s="127" t="n">
        <v>14</v>
      </c>
      <c r="B410" s="127" t="inlineStr">
        <is>
          <t>Duke Fuqua</t>
        </is>
      </c>
      <c r="C410" s="127" t="inlineStr">
        <is>
          <t>Decision Sciences</t>
        </is>
      </c>
      <c r="D410" s="127" t="inlineStr">
        <is>
          <t>Microeconomics</t>
        </is>
      </c>
      <c r="E410" s="127" t="n">
        <v>2</v>
      </c>
      <c r="F410" s="127" t="inlineStr">
        <is>
          <t>American Economic Review; Econometrica; Quarterly Journal of Economics; Review of Economic Studies</t>
        </is>
      </c>
    </row>
    <row r="411" ht="37.5" customHeight="1" s="91">
      <c r="A411" s="128" t="n">
        <v>14</v>
      </c>
      <c r="B411" s="128" t="inlineStr">
        <is>
          <t>Duke Fuqua</t>
        </is>
      </c>
      <c r="C411" s="128" t="inlineStr">
        <is>
          <t>Decision Sciences</t>
        </is>
      </c>
      <c r="D411" s="128" t="inlineStr">
        <is>
          <t>Macroeconomics</t>
        </is>
      </c>
      <c r="E411" s="128" t="n">
        <v>1</v>
      </c>
      <c r="F411" s="128" t="inlineStr">
        <is>
          <t>American Economic Review; Econometrica; Quarterly Journal of Economics; Review of Economic Studies</t>
        </is>
      </c>
    </row>
    <row r="412" ht="37.5" customHeight="1" s="91">
      <c r="A412" s="127" t="n">
        <v>14</v>
      </c>
      <c r="B412" s="127" t="inlineStr">
        <is>
          <t>Duke Fuqua</t>
        </is>
      </c>
      <c r="C412" s="127" t="inlineStr">
        <is>
          <t>Decision Sciences</t>
        </is>
      </c>
      <c r="D412" s="127" t="inlineStr">
        <is>
          <t>Applied Economics</t>
        </is>
      </c>
      <c r="E412" s="127" t="n">
        <v>1</v>
      </c>
      <c r="F412" s="127" t="inlineStr">
        <is>
          <t>American Economic Review; Econometrica; Quarterly Journal of Economics; Review of Economic Studies</t>
        </is>
      </c>
    </row>
    <row r="413" ht="37.5" customHeight="1" s="91">
      <c r="A413" s="128" t="n">
        <v>14</v>
      </c>
      <c r="B413" s="128" t="inlineStr">
        <is>
          <t>Duke Fuqua</t>
        </is>
      </c>
      <c r="C413" s="128" t="inlineStr">
        <is>
          <t>Decision Sciences</t>
        </is>
      </c>
      <c r="D413" s="128" t="inlineStr">
        <is>
          <t>Industrial Organization</t>
        </is>
      </c>
      <c r="E413" s="128" t="n">
        <v>1</v>
      </c>
      <c r="F413" s="128" t="inlineStr">
        <is>
          <t>American Economic Review; Econometrica; Quarterly Journal of Economics; Review of Economic Studies</t>
        </is>
      </c>
    </row>
    <row r="414" ht="37.5" customHeight="1" s="91">
      <c r="A414" s="127" t="n">
        <v>14</v>
      </c>
      <c r="B414" s="127" t="inlineStr">
        <is>
          <t>Duke Fuqua</t>
        </is>
      </c>
      <c r="C414" s="127" t="inlineStr">
        <is>
          <t>Economics</t>
        </is>
      </c>
      <c r="D414" s="127" t="inlineStr">
        <is>
          <t>Microeconomics</t>
        </is>
      </c>
      <c r="E414" s="127" t="n">
        <v>2</v>
      </c>
      <c r="F414" s="127" t="inlineStr">
        <is>
          <t>American Economic Review; Econometrica; Quarterly Journal of Economics; Review of Economic Studies</t>
        </is>
      </c>
    </row>
    <row r="415" ht="37.5" customHeight="1" s="91">
      <c r="A415" s="128" t="n">
        <v>14</v>
      </c>
      <c r="B415" s="128" t="inlineStr">
        <is>
          <t>Duke Fuqua</t>
        </is>
      </c>
      <c r="C415" s="128" t="inlineStr">
        <is>
          <t>Economics</t>
        </is>
      </c>
      <c r="D415" s="128" t="inlineStr">
        <is>
          <t>Macroeconomics</t>
        </is>
      </c>
      <c r="E415" s="128" t="n">
        <v>2</v>
      </c>
      <c r="F415" s="128" t="inlineStr">
        <is>
          <t>American Economic Review; Econometrica; Quarterly Journal of Economics; Review of Economic Studies</t>
        </is>
      </c>
    </row>
    <row r="416" ht="37.5" customHeight="1" s="91">
      <c r="A416" s="127" t="n">
        <v>14</v>
      </c>
      <c r="B416" s="127" t="inlineStr">
        <is>
          <t>Duke Fuqua</t>
        </is>
      </c>
      <c r="C416" s="127" t="inlineStr">
        <is>
          <t>Economics</t>
        </is>
      </c>
      <c r="D416" s="127" t="inlineStr">
        <is>
          <t>Applied Economics</t>
        </is>
      </c>
      <c r="E416" s="127" t="n">
        <v>1</v>
      </c>
      <c r="F416" s="127" t="inlineStr">
        <is>
          <t>American Economic Review; Econometrica; Quarterly Journal of Economics; Review of Economic Studies</t>
        </is>
      </c>
    </row>
    <row r="417" ht="37.5" customHeight="1" s="91">
      <c r="A417" s="128" t="n">
        <v>14</v>
      </c>
      <c r="B417" s="128" t="inlineStr">
        <is>
          <t>Duke Fuqua</t>
        </is>
      </c>
      <c r="C417" s="128" t="inlineStr">
        <is>
          <t>Economics</t>
        </is>
      </c>
      <c r="D417" s="128" t="inlineStr">
        <is>
          <t>Industrial Organization</t>
        </is>
      </c>
      <c r="E417" s="128" t="n">
        <v>1</v>
      </c>
      <c r="F417" s="128" t="inlineStr">
        <is>
          <t>American Economic Review; Econometrica; Quarterly Journal of Economics; Review of Economic Studies</t>
        </is>
      </c>
    </row>
    <row r="418" ht="37.5" customHeight="1" s="91">
      <c r="A418" s="127" t="n">
        <v>14</v>
      </c>
      <c r="B418" s="127" t="inlineStr">
        <is>
          <t>Duke Fuqua</t>
        </is>
      </c>
      <c r="C418" s="127" t="inlineStr">
        <is>
          <t>Finance</t>
        </is>
      </c>
      <c r="D418" s="127" t="inlineStr">
        <is>
          <t>Corporate Finance</t>
        </is>
      </c>
      <c r="E418" s="127" t="n">
        <v>2</v>
      </c>
      <c r="F418" s="127" t="inlineStr">
        <is>
          <t>Journal of Finance; Review of Financial Studies; Journal of Financial Economics; Journal of Financial &amp; Quantitative Analysis</t>
        </is>
      </c>
    </row>
    <row r="419" ht="37.5" customHeight="1" s="91">
      <c r="A419" s="128" t="n">
        <v>14</v>
      </c>
      <c r="B419" s="128" t="inlineStr">
        <is>
          <t>Duke Fuqua</t>
        </is>
      </c>
      <c r="C419" s="128" t="inlineStr">
        <is>
          <t>Finance</t>
        </is>
      </c>
      <c r="D419" s="128" t="inlineStr">
        <is>
          <t>Asset Pricing</t>
        </is>
      </c>
      <c r="E419" s="128" t="n">
        <v>2</v>
      </c>
      <c r="F419" s="128" t="inlineStr">
        <is>
          <t>Journal of Finance; Review of Financial Studies; Journal of Financial Economics; Journal of Financial &amp; Quantitative Analysis</t>
        </is>
      </c>
    </row>
    <row r="420" ht="37.5" customHeight="1" s="91">
      <c r="A420" s="127" t="n">
        <v>14</v>
      </c>
      <c r="B420" s="127" t="inlineStr">
        <is>
          <t>Duke Fuqua</t>
        </is>
      </c>
      <c r="C420" s="127" t="inlineStr">
        <is>
          <t>Finance</t>
        </is>
      </c>
      <c r="D420" s="127" t="inlineStr">
        <is>
          <t>Banking &amp; Financial Institutions</t>
        </is>
      </c>
      <c r="E420" s="127" t="n">
        <v>2</v>
      </c>
      <c r="F420" s="127" t="inlineStr">
        <is>
          <t>Journal of Finance; Review of Financial Studies; Journal of Financial Economics; Journal of Financial &amp; Quantitative Analysis</t>
        </is>
      </c>
    </row>
    <row r="421" ht="37.5" customHeight="1" s="91">
      <c r="A421" s="128" t="n">
        <v>14</v>
      </c>
      <c r="B421" s="128" t="inlineStr">
        <is>
          <t>Duke Fuqua</t>
        </is>
      </c>
      <c r="C421" s="128" t="inlineStr">
        <is>
          <t>Finance</t>
        </is>
      </c>
      <c r="D421" s="128" t="inlineStr">
        <is>
          <t>International Finance</t>
        </is>
      </c>
      <c r="E421" s="128" t="n">
        <v>1</v>
      </c>
      <c r="F421" s="128" t="inlineStr">
        <is>
          <t>Journal of Finance; Review of Financial Studies; Journal of Financial Economics; Journal of Financial &amp; Quantitative Analysis</t>
        </is>
      </c>
    </row>
    <row r="422" ht="37.5" customHeight="1" s="91">
      <c r="A422" s="127" t="n">
        <v>14</v>
      </c>
      <c r="B422" s="127" t="inlineStr">
        <is>
          <t>Duke Fuqua</t>
        </is>
      </c>
      <c r="C422" s="127" t="inlineStr">
        <is>
          <t>Management</t>
        </is>
      </c>
      <c r="D422" s="127" t="inlineStr">
        <is>
          <t>Strategic Management</t>
        </is>
      </c>
      <c r="E422" s="127" t="n">
        <v>2</v>
      </c>
      <c r="F422" s="127" t="inlineStr">
        <is>
          <t>Academy of Management Review; Academy of Management Journal; Administrative Science Quarterly; Strategic Management Journal</t>
        </is>
      </c>
    </row>
    <row r="423" ht="37.5" customHeight="1" s="91">
      <c r="A423" s="128" t="n">
        <v>14</v>
      </c>
      <c r="B423" s="128" t="inlineStr">
        <is>
          <t>Duke Fuqua</t>
        </is>
      </c>
      <c r="C423" s="128" t="inlineStr">
        <is>
          <t>Management</t>
        </is>
      </c>
      <c r="D423" s="128" t="inlineStr">
        <is>
          <t>Organizational Theory</t>
        </is>
      </c>
      <c r="E423" s="128" t="n">
        <v>2</v>
      </c>
      <c r="F423" s="128" t="inlineStr">
        <is>
          <t>Academy of Management Review; Academy of Management Journal; Administrative Science Quarterly; Strategic Management Journal</t>
        </is>
      </c>
    </row>
    <row r="424" ht="37.5" customHeight="1" s="91">
      <c r="A424" s="127" t="n">
        <v>14</v>
      </c>
      <c r="B424" s="127" t="inlineStr">
        <is>
          <t>Duke Fuqua</t>
        </is>
      </c>
      <c r="C424" s="127" t="inlineStr">
        <is>
          <t>Management</t>
        </is>
      </c>
      <c r="D424" s="127" t="inlineStr">
        <is>
          <t>Leadership</t>
        </is>
      </c>
      <c r="E424" s="127" t="n">
        <v>1</v>
      </c>
      <c r="F424" s="127" t="inlineStr">
        <is>
          <t>Academy of Management Review; Academy of Management Journal; Administrative Science Quarterly; Strategic Management Journal</t>
        </is>
      </c>
    </row>
    <row r="425" ht="37.5" customHeight="1" s="91">
      <c r="A425" s="128" t="n">
        <v>14</v>
      </c>
      <c r="B425" s="128" t="inlineStr">
        <is>
          <t>Duke Fuqua</t>
        </is>
      </c>
      <c r="C425" s="128" t="inlineStr">
        <is>
          <t>Management</t>
        </is>
      </c>
      <c r="D425" s="128" t="inlineStr">
        <is>
          <t>Entrepreneurship</t>
        </is>
      </c>
      <c r="E425" s="128" t="n">
        <v>1</v>
      </c>
      <c r="F425" s="128" t="inlineStr">
        <is>
          <t>Academy of Management Review; Academy of Management Journal; Administrative Science Quarterly; Strategic Management Journal</t>
        </is>
      </c>
    </row>
    <row r="426" ht="37.5" customHeight="1" s="91">
      <c r="A426" s="127" t="n">
        <v>14</v>
      </c>
      <c r="B426" s="127" t="inlineStr">
        <is>
          <t>Duke Fuqua</t>
        </is>
      </c>
      <c r="C426" s="127" t="inlineStr">
        <is>
          <t>Marketing</t>
        </is>
      </c>
      <c r="D426" s="127" t="inlineStr">
        <is>
          <t>Consumer Behavior</t>
        </is>
      </c>
      <c r="E426" s="127" t="n">
        <v>2</v>
      </c>
      <c r="F426" s="127" t="inlineStr">
        <is>
          <t>Journal of Marketing Research; Journal of Marketing; Marketing Science; Journal of Consumer Research</t>
        </is>
      </c>
    </row>
    <row r="427" ht="37.5" customHeight="1" s="91">
      <c r="A427" s="128" t="n">
        <v>14</v>
      </c>
      <c r="B427" s="128" t="inlineStr">
        <is>
          <t>Duke Fuqua</t>
        </is>
      </c>
      <c r="C427" s="128" t="inlineStr">
        <is>
          <t>Marketing</t>
        </is>
      </c>
      <c r="D427" s="128" t="inlineStr">
        <is>
          <t>Marketing Analytics</t>
        </is>
      </c>
      <c r="E427" s="128" t="n">
        <v>2</v>
      </c>
      <c r="F427" s="128" t="inlineStr">
        <is>
          <t>Journal of Marketing Research; Journal of Marketing; Marketing Science; Journal of Consumer Research</t>
        </is>
      </c>
    </row>
    <row r="428" ht="37.5" customHeight="1" s="91">
      <c r="A428" s="127" t="n">
        <v>14</v>
      </c>
      <c r="B428" s="127" t="inlineStr">
        <is>
          <t>Duke Fuqua</t>
        </is>
      </c>
      <c r="C428" s="127" t="inlineStr">
        <is>
          <t>Marketing</t>
        </is>
      </c>
      <c r="D428" s="127" t="inlineStr">
        <is>
          <t>Digital Marketing</t>
        </is>
      </c>
      <c r="E428" s="127" t="n">
        <v>1</v>
      </c>
      <c r="F428" s="127" t="inlineStr">
        <is>
          <t>Journal of Marketing Research; Journal of Marketing; Marketing Science; Journal of Consumer Research</t>
        </is>
      </c>
    </row>
    <row r="429" ht="37.5" customHeight="1" s="91">
      <c r="A429" s="128" t="n">
        <v>14</v>
      </c>
      <c r="B429" s="128" t="inlineStr">
        <is>
          <t>Duke Fuqua</t>
        </is>
      </c>
      <c r="C429" s="128" t="inlineStr">
        <is>
          <t>Marketing</t>
        </is>
      </c>
      <c r="D429" s="128" t="inlineStr">
        <is>
          <t>Brand Management</t>
        </is>
      </c>
      <c r="E429" s="128" t="n">
        <v>1</v>
      </c>
      <c r="F429" s="128" t="inlineStr">
        <is>
          <t>Journal of Marketing Research; Journal of Marketing; Marketing Science; Journal of Consumer Research</t>
        </is>
      </c>
    </row>
    <row r="430" ht="37.5" customHeight="1" s="91">
      <c r="A430" s="127" t="n">
        <v>14</v>
      </c>
      <c r="B430" s="127" t="inlineStr">
        <is>
          <t>Duke Fuqua</t>
        </is>
      </c>
      <c r="C430" s="127" t="inlineStr">
        <is>
          <t>Operations Management</t>
        </is>
      </c>
      <c r="D430" s="127" t="inlineStr">
        <is>
          <t>Supply Chain Management</t>
        </is>
      </c>
      <c r="E430" s="127" t="n">
        <v>2</v>
      </c>
      <c r="F430" s="127" t="inlineStr">
        <is>
          <t>Management Science; Operations Research; Manufacturing &amp; Service Operations Management; Production &amp; Operations Management</t>
        </is>
      </c>
    </row>
    <row r="431" ht="37.5" customHeight="1" s="91">
      <c r="A431" s="128" t="n">
        <v>14</v>
      </c>
      <c r="B431" s="128" t="inlineStr">
        <is>
          <t>Duke Fuqua</t>
        </is>
      </c>
      <c r="C431" s="128" t="inlineStr">
        <is>
          <t>Operations Management</t>
        </is>
      </c>
      <c r="D431" s="128" t="inlineStr">
        <is>
          <t>Operations Research</t>
        </is>
      </c>
      <c r="E431" s="128" t="n">
        <v>2</v>
      </c>
      <c r="F431" s="128" t="inlineStr">
        <is>
          <t>Management Science; Operations Research; Manufacturing &amp; Service Operations Management; Production &amp; Operations Management</t>
        </is>
      </c>
    </row>
    <row r="432" ht="37.5" customHeight="1" s="91">
      <c r="A432" s="127" t="n">
        <v>14</v>
      </c>
      <c r="B432" s="127" t="inlineStr">
        <is>
          <t>Duke Fuqua</t>
        </is>
      </c>
      <c r="C432" s="127" t="inlineStr">
        <is>
          <t>Operations Management</t>
        </is>
      </c>
      <c r="D432" s="127" t="inlineStr">
        <is>
          <t>Process Optimization</t>
        </is>
      </c>
      <c r="E432" s="127" t="n">
        <v>1</v>
      </c>
      <c r="F432" s="127" t="inlineStr">
        <is>
          <t>Management Science; Operations Research; Manufacturing &amp; Service Operations Management; Production &amp; Operations Management</t>
        </is>
      </c>
    </row>
    <row r="433" ht="37.5" customHeight="1" s="91">
      <c r="A433" s="128" t="n">
        <v>14</v>
      </c>
      <c r="B433" s="128" t="inlineStr">
        <is>
          <t>Duke Fuqua</t>
        </is>
      </c>
      <c r="C433" s="128" t="inlineStr">
        <is>
          <t>Operations Management</t>
        </is>
      </c>
      <c r="D433" s="128" t="inlineStr">
        <is>
          <t>Analytics</t>
        </is>
      </c>
      <c r="E433" s="128" t="n">
        <v>1</v>
      </c>
      <c r="F433" s="128" t="inlineStr">
        <is>
          <t>Management Science; Operations Research; Manufacturing &amp; Service Operations Management; Production &amp; Operations Management</t>
        </is>
      </c>
    </row>
    <row r="434" ht="37.5" customHeight="1" s="91">
      <c r="A434" s="127" t="n">
        <v>14</v>
      </c>
      <c r="B434" s="127" t="inlineStr">
        <is>
          <t>Duke Fuqua</t>
        </is>
      </c>
      <c r="C434" s="127" t="inlineStr">
        <is>
          <t>Strategy</t>
        </is>
      </c>
      <c r="D434" s="127" t="inlineStr">
        <is>
          <t>Competitive Strategy</t>
        </is>
      </c>
      <c r="E434" s="127" t="n">
        <v>2</v>
      </c>
      <c r="F434" s="127" t="inlineStr">
        <is>
          <t>Strategic Management Journal; Academy of Management Review; Organization Science; Journal of Economics &amp; Management Strategy</t>
        </is>
      </c>
    </row>
    <row r="435" ht="37.5" customHeight="1" s="91">
      <c r="A435" s="128" t="n">
        <v>14</v>
      </c>
      <c r="B435" s="128" t="inlineStr">
        <is>
          <t>Duke Fuqua</t>
        </is>
      </c>
      <c r="C435" s="128" t="inlineStr">
        <is>
          <t>Strategy</t>
        </is>
      </c>
      <c r="D435" s="128" t="inlineStr">
        <is>
          <t>Corporate Strategy</t>
        </is>
      </c>
      <c r="E435" s="128" t="n">
        <v>2</v>
      </c>
      <c r="F435" s="128" t="inlineStr">
        <is>
          <t>Strategic Management Journal; Academy of Management Review; Organization Science; Journal of Economics &amp; Management Strategy</t>
        </is>
      </c>
    </row>
    <row r="436" ht="37.5" customHeight="1" s="91">
      <c r="A436" s="127" t="n">
        <v>14</v>
      </c>
      <c r="B436" s="127" t="inlineStr">
        <is>
          <t>Duke Fuqua</t>
        </is>
      </c>
      <c r="C436" s="127" t="inlineStr">
        <is>
          <t>Strategy</t>
        </is>
      </c>
      <c r="D436" s="127" t="inlineStr">
        <is>
          <t>Innovation</t>
        </is>
      </c>
      <c r="E436" s="127" t="n">
        <v>1</v>
      </c>
      <c r="F436" s="127" t="inlineStr">
        <is>
          <t>Strategic Management Journal; Academy of Management Review; Organization Science; Journal of Economics &amp; Management Strategy</t>
        </is>
      </c>
    </row>
    <row r="437" ht="37.5" customHeight="1" s="91">
      <c r="A437" s="128" t="n">
        <v>14</v>
      </c>
      <c r="B437" s="128" t="inlineStr">
        <is>
          <t>Duke Fuqua</t>
        </is>
      </c>
      <c r="C437" s="128" t="inlineStr">
        <is>
          <t>Strategy</t>
        </is>
      </c>
      <c r="D437" s="128" t="inlineStr">
        <is>
          <t>Strategic Management</t>
        </is>
      </c>
      <c r="E437" s="128" t="n">
        <v>1</v>
      </c>
      <c r="F437" s="128" t="inlineStr">
        <is>
          <t>Strategic Management Journal; Academy of Management Review; Organization Science; Journal of Economics &amp; Management Strategy</t>
        </is>
      </c>
    </row>
    <row r="438" ht="37.5" customHeight="1" s="91">
      <c r="A438" s="127" t="n">
        <v>15</v>
      </c>
      <c r="B438" s="127" t="inlineStr">
        <is>
          <t>Cornell Johnson</t>
        </is>
      </c>
      <c r="C438" s="127" t="inlineStr">
        <is>
          <t>Accounting</t>
        </is>
      </c>
      <c r="D438" s="127" t="inlineStr">
        <is>
          <t>Financial Accounting</t>
        </is>
      </c>
      <c r="E438" s="127" t="n">
        <v>2</v>
      </c>
      <c r="F438" s="127" t="inlineStr">
        <is>
          <t>The Accounting Review; Journal of Accounting Research; Journal of Accounting &amp; Economics; Review of Accounting Studies</t>
        </is>
      </c>
    </row>
    <row r="439" ht="37.5" customHeight="1" s="91">
      <c r="A439" s="128" t="n">
        <v>15</v>
      </c>
      <c r="B439" s="128" t="inlineStr">
        <is>
          <t>Cornell Johnson</t>
        </is>
      </c>
      <c r="C439" s="128" t="inlineStr">
        <is>
          <t>Accounting</t>
        </is>
      </c>
      <c r="D439" s="128" t="inlineStr">
        <is>
          <t>Managerial Accounting</t>
        </is>
      </c>
      <c r="E439" s="128" t="n">
        <v>1</v>
      </c>
      <c r="F439" s="128" t="inlineStr">
        <is>
          <t>The Accounting Review; Journal of Accounting Research; Journal of Accounting &amp; Economics; Review of Accounting Studies</t>
        </is>
      </c>
    </row>
    <row r="440" ht="37.5" customHeight="1" s="91">
      <c r="A440" s="127" t="n">
        <v>15</v>
      </c>
      <c r="B440" s="127" t="inlineStr">
        <is>
          <t>Cornell Johnson</t>
        </is>
      </c>
      <c r="C440" s="127" t="inlineStr">
        <is>
          <t>Accounting</t>
        </is>
      </c>
      <c r="D440" s="127" t="inlineStr">
        <is>
          <t>Auditing &amp; Assurance</t>
        </is>
      </c>
      <c r="E440" s="127" t="n">
        <v>1</v>
      </c>
      <c r="F440" s="127" t="inlineStr">
        <is>
          <t>The Accounting Review; Journal of Accounting Research; Journal of Accounting &amp; Economics; Review of Accounting Studies</t>
        </is>
      </c>
    </row>
    <row r="441" ht="37.5" customHeight="1" s="91">
      <c r="A441" s="128" t="n">
        <v>15</v>
      </c>
      <c r="B441" s="128" t="inlineStr">
        <is>
          <t>Cornell Johnson</t>
        </is>
      </c>
      <c r="C441" s="128" t="inlineStr">
        <is>
          <t>Accounting</t>
        </is>
      </c>
      <c r="D441" s="128" t="inlineStr">
        <is>
          <t>Tax</t>
        </is>
      </c>
      <c r="E441" s="128" t="n">
        <v>1</v>
      </c>
      <c r="F441" s="128" t="inlineStr">
        <is>
          <t>The Accounting Review; Journal of Accounting Research; Journal of Accounting &amp; Economics; Review of Accounting Studies</t>
        </is>
      </c>
    </row>
    <row r="442" ht="37.5" customHeight="1" s="91">
      <c r="A442" s="127" t="n">
        <v>15</v>
      </c>
      <c r="B442" s="127" t="inlineStr">
        <is>
          <t>Cornell Johnson</t>
        </is>
      </c>
      <c r="C442" s="127" t="inlineStr">
        <is>
          <t>Applied Economics &amp; Policy</t>
        </is>
      </c>
      <c r="D442" s="127" t="inlineStr">
        <is>
          <t>Microeconomics</t>
        </is>
      </c>
      <c r="E442" s="127" t="n">
        <v>2</v>
      </c>
      <c r="F442" s="127" t="inlineStr">
        <is>
          <t>American Economic Review; Econometrica; Quarterly Journal of Economics; Review of Economic Studies</t>
        </is>
      </c>
    </row>
    <row r="443" ht="37.5" customHeight="1" s="91">
      <c r="A443" s="128" t="n">
        <v>15</v>
      </c>
      <c r="B443" s="128" t="inlineStr">
        <is>
          <t>Cornell Johnson</t>
        </is>
      </c>
      <c r="C443" s="128" t="inlineStr">
        <is>
          <t>Applied Economics &amp; Policy</t>
        </is>
      </c>
      <c r="D443" s="128" t="inlineStr">
        <is>
          <t>Macroeconomics</t>
        </is>
      </c>
      <c r="E443" s="128" t="n">
        <v>1</v>
      </c>
      <c r="F443" s="128" t="inlineStr">
        <is>
          <t>American Economic Review; Econometrica; Quarterly Journal of Economics; Review of Economic Studies</t>
        </is>
      </c>
    </row>
    <row r="444" ht="37.5" customHeight="1" s="91">
      <c r="A444" s="127" t="n">
        <v>15</v>
      </c>
      <c r="B444" s="127" t="inlineStr">
        <is>
          <t>Cornell Johnson</t>
        </is>
      </c>
      <c r="C444" s="127" t="inlineStr">
        <is>
          <t>Applied Economics &amp; Policy</t>
        </is>
      </c>
      <c r="D444" s="127" t="inlineStr">
        <is>
          <t>Applied Economics</t>
        </is>
      </c>
      <c r="E444" s="127" t="n">
        <v>1</v>
      </c>
      <c r="F444" s="127" t="inlineStr">
        <is>
          <t>American Economic Review; Econometrica; Quarterly Journal of Economics; Review of Economic Studies</t>
        </is>
      </c>
    </row>
    <row r="445" ht="37.5" customHeight="1" s="91">
      <c r="A445" s="128" t="n">
        <v>15</v>
      </c>
      <c r="B445" s="128" t="inlineStr">
        <is>
          <t>Cornell Johnson</t>
        </is>
      </c>
      <c r="C445" s="128" t="inlineStr">
        <is>
          <t>Applied Economics &amp; Policy</t>
        </is>
      </c>
      <c r="D445" s="128" t="inlineStr">
        <is>
          <t>Industrial Organization</t>
        </is>
      </c>
      <c r="E445" s="128" t="n">
        <v>1</v>
      </c>
      <c r="F445" s="128" t="inlineStr">
        <is>
          <t>American Economic Review; Econometrica; Quarterly Journal of Economics; Review of Economic Studies</t>
        </is>
      </c>
    </row>
    <row r="446" ht="37.5" customHeight="1" s="91">
      <c r="A446" s="127" t="n">
        <v>15</v>
      </c>
      <c r="B446" s="127" t="inlineStr">
        <is>
          <t>Cornell Johnson</t>
        </is>
      </c>
      <c r="C446" s="127" t="inlineStr">
        <is>
          <t>Finance</t>
        </is>
      </c>
      <c r="D446" s="127" t="inlineStr">
        <is>
          <t>Corporate Finance</t>
        </is>
      </c>
      <c r="E446" s="127" t="n">
        <v>2</v>
      </c>
      <c r="F446" s="127" t="inlineStr">
        <is>
          <t>Journal of Finance; Review of Financial Studies; Journal of Financial Economics; Journal of Financial &amp; Quantitative Analysis</t>
        </is>
      </c>
    </row>
    <row r="447" ht="37.5" customHeight="1" s="91">
      <c r="A447" s="128" t="n">
        <v>15</v>
      </c>
      <c r="B447" s="128" t="inlineStr">
        <is>
          <t>Cornell Johnson</t>
        </is>
      </c>
      <c r="C447" s="128" t="inlineStr">
        <is>
          <t>Finance</t>
        </is>
      </c>
      <c r="D447" s="128" t="inlineStr">
        <is>
          <t>Asset Pricing</t>
        </is>
      </c>
      <c r="E447" s="128" t="n">
        <v>1</v>
      </c>
      <c r="F447" s="128" t="inlineStr">
        <is>
          <t>Journal of Finance; Review of Financial Studies; Journal of Financial Economics; Journal of Financial &amp; Quantitative Analysis</t>
        </is>
      </c>
    </row>
    <row r="448" ht="37.5" customHeight="1" s="91">
      <c r="A448" s="127" t="n">
        <v>15</v>
      </c>
      <c r="B448" s="127" t="inlineStr">
        <is>
          <t>Cornell Johnson</t>
        </is>
      </c>
      <c r="C448" s="127" t="inlineStr">
        <is>
          <t>Finance</t>
        </is>
      </c>
      <c r="D448" s="127" t="inlineStr">
        <is>
          <t>Banking &amp; Financial Institutions</t>
        </is>
      </c>
      <c r="E448" s="127" t="n">
        <v>1</v>
      </c>
      <c r="F448" s="127" t="inlineStr">
        <is>
          <t>Journal of Finance; Review of Financial Studies; Journal of Financial Economics; Journal of Financial &amp; Quantitative Analysis</t>
        </is>
      </c>
    </row>
    <row r="449" ht="37.5" customHeight="1" s="91">
      <c r="A449" s="128" t="n">
        <v>15</v>
      </c>
      <c r="B449" s="128" t="inlineStr">
        <is>
          <t>Cornell Johnson</t>
        </is>
      </c>
      <c r="C449" s="128" t="inlineStr">
        <is>
          <t>Finance</t>
        </is>
      </c>
      <c r="D449" s="128" t="inlineStr">
        <is>
          <t>International Finance</t>
        </is>
      </c>
      <c r="E449" s="128" t="n">
        <v>1</v>
      </c>
      <c r="F449" s="128" t="inlineStr">
        <is>
          <t>Journal of Finance; Review of Financial Studies; Journal of Financial Economics; Journal of Financial &amp; Quantitative Analysis</t>
        </is>
      </c>
    </row>
    <row r="450" ht="37.5" customHeight="1" s="91">
      <c r="A450" s="127" t="n">
        <v>15</v>
      </c>
      <c r="B450" s="127" t="inlineStr">
        <is>
          <t>Cornell Johnson</t>
        </is>
      </c>
      <c r="C450" s="127" t="inlineStr">
        <is>
          <t>Management &amp; Organizations</t>
        </is>
      </c>
      <c r="D450" s="127" t="inlineStr">
        <is>
          <t>Organizational Behavior</t>
        </is>
      </c>
      <c r="E450" s="127" t="n">
        <v>2</v>
      </c>
      <c r="F450" s="127" t="inlineStr">
        <is>
          <t>Academy of Management Journal; Organization Science; Administrative Science Quarterly; Journal of Applied Psychology</t>
        </is>
      </c>
    </row>
    <row r="451" ht="37.5" customHeight="1" s="91">
      <c r="A451" s="128" t="n">
        <v>15</v>
      </c>
      <c r="B451" s="128" t="inlineStr">
        <is>
          <t>Cornell Johnson</t>
        </is>
      </c>
      <c r="C451" s="128" t="inlineStr">
        <is>
          <t>Management &amp; Organizations</t>
        </is>
      </c>
      <c r="D451" s="128" t="inlineStr">
        <is>
          <t>Human Resources</t>
        </is>
      </c>
      <c r="E451" s="128" t="n">
        <v>1</v>
      </c>
      <c r="F451" s="128" t="inlineStr">
        <is>
          <t>Academy of Management Journal; Organization Science; Administrative Science Quarterly; Journal of Applied Psychology</t>
        </is>
      </c>
    </row>
    <row r="452" ht="37.5" customHeight="1" s="91">
      <c r="A452" s="127" t="n">
        <v>15</v>
      </c>
      <c r="B452" s="127" t="inlineStr">
        <is>
          <t>Cornell Johnson</t>
        </is>
      </c>
      <c r="C452" s="127" t="inlineStr">
        <is>
          <t>Management &amp; Organizations</t>
        </is>
      </c>
      <c r="D452" s="127" t="inlineStr">
        <is>
          <t>Leadership &amp; Teams</t>
        </is>
      </c>
      <c r="E452" s="127" t="n">
        <v>1</v>
      </c>
      <c r="F452" s="127" t="inlineStr">
        <is>
          <t>Academy of Management Journal; Organization Science; Administrative Science Quarterly; Journal of Applied Psychology</t>
        </is>
      </c>
    </row>
    <row r="453" ht="37.5" customHeight="1" s="91">
      <c r="A453" s="128" t="n">
        <v>15</v>
      </c>
      <c r="B453" s="128" t="inlineStr">
        <is>
          <t>Cornell Johnson</t>
        </is>
      </c>
      <c r="C453" s="128" t="inlineStr">
        <is>
          <t>Management &amp; Organizations</t>
        </is>
      </c>
      <c r="D453" s="128" t="inlineStr">
        <is>
          <t>Diversity &amp; Inclusion</t>
        </is>
      </c>
      <c r="E453" s="128" t="n">
        <v>1</v>
      </c>
      <c r="F453" s="128" t="inlineStr">
        <is>
          <t>Academy of Management Journal; Organization Science; Administrative Science Quarterly; Journal of Applied Psychology</t>
        </is>
      </c>
    </row>
    <row r="454" ht="37.5" customHeight="1" s="91">
      <c r="A454" s="127" t="n">
        <v>15</v>
      </c>
      <c r="B454" s="127" t="inlineStr">
        <is>
          <t>Cornell Johnson</t>
        </is>
      </c>
      <c r="C454" s="127" t="inlineStr">
        <is>
          <t>Marketing</t>
        </is>
      </c>
      <c r="D454" s="127" t="inlineStr">
        <is>
          <t>Consumer Behavior</t>
        </is>
      </c>
      <c r="E454" s="127" t="n">
        <v>2</v>
      </c>
      <c r="F454" s="127" t="inlineStr">
        <is>
          <t>Journal of Marketing Research; Journal of Marketing; Marketing Science; Journal of Consumer Research</t>
        </is>
      </c>
    </row>
    <row r="455" ht="37.5" customHeight="1" s="91">
      <c r="A455" s="128" t="n">
        <v>15</v>
      </c>
      <c r="B455" s="128" t="inlineStr">
        <is>
          <t>Cornell Johnson</t>
        </is>
      </c>
      <c r="C455" s="128" t="inlineStr">
        <is>
          <t>Marketing</t>
        </is>
      </c>
      <c r="D455" s="128" t="inlineStr">
        <is>
          <t>Marketing Analytics</t>
        </is>
      </c>
      <c r="E455" s="128" t="n">
        <v>1</v>
      </c>
      <c r="F455" s="128" t="inlineStr">
        <is>
          <t>Journal of Marketing Research; Journal of Marketing; Marketing Science; Journal of Consumer Research</t>
        </is>
      </c>
    </row>
    <row r="456" ht="37.5" customHeight="1" s="91">
      <c r="A456" s="127" t="n">
        <v>15</v>
      </c>
      <c r="B456" s="127" t="inlineStr">
        <is>
          <t>Cornell Johnson</t>
        </is>
      </c>
      <c r="C456" s="127" t="inlineStr">
        <is>
          <t>Marketing</t>
        </is>
      </c>
      <c r="D456" s="127" t="inlineStr">
        <is>
          <t>Digital Marketing</t>
        </is>
      </c>
      <c r="E456" s="127" t="n">
        <v>1</v>
      </c>
      <c r="F456" s="127" t="inlineStr">
        <is>
          <t>Journal of Marketing Research; Journal of Marketing; Marketing Science; Journal of Consumer Research</t>
        </is>
      </c>
    </row>
    <row r="457" ht="37.5" customHeight="1" s="91">
      <c r="A457" s="128" t="n">
        <v>15</v>
      </c>
      <c r="B457" s="128" t="inlineStr">
        <is>
          <t>Cornell Johnson</t>
        </is>
      </c>
      <c r="C457" s="128" t="inlineStr">
        <is>
          <t>Marketing</t>
        </is>
      </c>
      <c r="D457" s="128" t="inlineStr">
        <is>
          <t>Brand Management</t>
        </is>
      </c>
      <c r="E457" s="128" t="n">
        <v>1</v>
      </c>
      <c r="F457" s="128" t="inlineStr">
        <is>
          <t>Journal of Marketing Research; Journal of Marketing; Marketing Science; Journal of Consumer Research</t>
        </is>
      </c>
    </row>
    <row r="458" ht="37.5" customHeight="1" s="91">
      <c r="A458" s="127" t="n">
        <v>15</v>
      </c>
      <c r="B458" s="127" t="inlineStr">
        <is>
          <t>Cornell Johnson</t>
        </is>
      </c>
      <c r="C458" s="127" t="inlineStr">
        <is>
          <t>Operations, Technology &amp; Information Management</t>
        </is>
      </c>
      <c r="D458" s="127" t="inlineStr">
        <is>
          <t>Supply Chain Management</t>
        </is>
      </c>
      <c r="E458" s="127" t="n">
        <v>2</v>
      </c>
      <c r="F458" s="127" t="inlineStr">
        <is>
          <t>Management Science; Operations Research; Manufacturing &amp; Service Operations Management; Production &amp; Operations Management</t>
        </is>
      </c>
    </row>
    <row r="459" ht="37.5" customHeight="1" s="91">
      <c r="A459" s="128" t="n">
        <v>15</v>
      </c>
      <c r="B459" s="128" t="inlineStr">
        <is>
          <t>Cornell Johnson</t>
        </is>
      </c>
      <c r="C459" s="128" t="inlineStr">
        <is>
          <t>Operations, Technology &amp; Information Management</t>
        </is>
      </c>
      <c r="D459" s="128" t="inlineStr">
        <is>
          <t>Operations Research</t>
        </is>
      </c>
      <c r="E459" s="128" t="n">
        <v>1</v>
      </c>
      <c r="F459" s="128" t="inlineStr">
        <is>
          <t>Management Science; Operations Research; Manufacturing &amp; Service Operations Management; Production &amp; Operations Management</t>
        </is>
      </c>
    </row>
    <row r="460" ht="37.5" customHeight="1" s="91">
      <c r="A460" s="127" t="n">
        <v>15</v>
      </c>
      <c r="B460" s="127" t="inlineStr">
        <is>
          <t>Cornell Johnson</t>
        </is>
      </c>
      <c r="C460" s="127" t="inlineStr">
        <is>
          <t>Operations, Technology &amp; Information Management</t>
        </is>
      </c>
      <c r="D460" s="127" t="inlineStr">
        <is>
          <t>Process Optimization</t>
        </is>
      </c>
      <c r="E460" s="127" t="n">
        <v>1</v>
      </c>
      <c r="F460" s="127" t="inlineStr">
        <is>
          <t>Management Science; Operations Research; Manufacturing &amp; Service Operations Management; Production &amp; Operations Management</t>
        </is>
      </c>
    </row>
    <row r="461" ht="37.5" customHeight="1" s="91">
      <c r="A461" s="128" t="n">
        <v>15</v>
      </c>
      <c r="B461" s="128" t="inlineStr">
        <is>
          <t>Cornell Johnson</t>
        </is>
      </c>
      <c r="C461" s="128" t="inlineStr">
        <is>
          <t>Operations, Technology &amp; Information Management</t>
        </is>
      </c>
      <c r="D461" s="128" t="inlineStr">
        <is>
          <t>Analytics</t>
        </is>
      </c>
      <c r="E461" s="128" t="n">
        <v>1</v>
      </c>
      <c r="F461" s="128" t="inlineStr">
        <is>
          <t>Management Science; Operations Research; Manufacturing &amp; Service Operations Management; Production &amp; Operations Management</t>
        </is>
      </c>
    </row>
    <row r="462" ht="37.5" customHeight="1" s="91">
      <c r="A462" s="127" t="n">
        <v>15</v>
      </c>
      <c r="B462" s="127" t="inlineStr">
        <is>
          <t>Cornell Johnson</t>
        </is>
      </c>
      <c r="C462" s="127" t="inlineStr">
        <is>
          <t>Strategy &amp; Business Economics</t>
        </is>
      </c>
      <c r="D462" s="127" t="inlineStr">
        <is>
          <t>Microeconomics</t>
        </is>
      </c>
      <c r="E462" s="127" t="n">
        <v>2</v>
      </c>
      <c r="F462" s="127" t="inlineStr">
        <is>
          <t>American Economic Review; Econometrica; Quarterly Journal of Economics; Review of Economic Studies</t>
        </is>
      </c>
    </row>
    <row r="463" ht="37.5" customHeight="1" s="91">
      <c r="A463" s="128" t="n">
        <v>15</v>
      </c>
      <c r="B463" s="128" t="inlineStr">
        <is>
          <t>Cornell Johnson</t>
        </is>
      </c>
      <c r="C463" s="128" t="inlineStr">
        <is>
          <t>Strategy &amp; Business Economics</t>
        </is>
      </c>
      <c r="D463" s="128" t="inlineStr">
        <is>
          <t>Macroeconomics</t>
        </is>
      </c>
      <c r="E463" s="128" t="n">
        <v>2</v>
      </c>
      <c r="F463" s="128" t="inlineStr">
        <is>
          <t>American Economic Review; Econometrica; Quarterly Journal of Economics; Review of Economic Studies</t>
        </is>
      </c>
    </row>
    <row r="464" ht="37.5" customHeight="1" s="91">
      <c r="A464" s="127" t="n">
        <v>15</v>
      </c>
      <c r="B464" s="127" t="inlineStr">
        <is>
          <t>Cornell Johnson</t>
        </is>
      </c>
      <c r="C464" s="127" t="inlineStr">
        <is>
          <t>Strategy &amp; Business Economics</t>
        </is>
      </c>
      <c r="D464" s="127" t="inlineStr">
        <is>
          <t>Applied Economics</t>
        </is>
      </c>
      <c r="E464" s="127" t="n">
        <v>1</v>
      </c>
      <c r="F464" s="127" t="inlineStr">
        <is>
          <t>American Economic Review; Econometrica; Quarterly Journal of Economics; Review of Economic Studies</t>
        </is>
      </c>
    </row>
    <row r="465" ht="37.5" customHeight="1" s="91">
      <c r="A465" s="128" t="n">
        <v>15</v>
      </c>
      <c r="B465" s="128" t="inlineStr">
        <is>
          <t>Cornell Johnson</t>
        </is>
      </c>
      <c r="C465" s="128" t="inlineStr">
        <is>
          <t>Strategy &amp; Business Economics</t>
        </is>
      </c>
      <c r="D465" s="128" t="inlineStr">
        <is>
          <t>Industrial Organization</t>
        </is>
      </c>
      <c r="E465" s="128" t="n">
        <v>1</v>
      </c>
      <c r="F465" s="128" t="inlineStr">
        <is>
          <t>American Economic Review; Econometrica; Quarterly Journal of Economics; Review of Economic Studies</t>
        </is>
      </c>
    </row>
    <row r="466" ht="37.5" customHeight="1" s="91">
      <c r="A466" s="127" t="n">
        <v>16</v>
      </c>
      <c r="B466" s="127" t="inlineStr">
        <is>
          <t>UT McCombs</t>
        </is>
      </c>
      <c r="C466" s="127" t="inlineStr">
        <is>
          <t>Accounting</t>
        </is>
      </c>
      <c r="D466" s="127" t="inlineStr">
        <is>
          <t>Financial Accounting</t>
        </is>
      </c>
      <c r="E466" s="127" t="n">
        <v>3</v>
      </c>
      <c r="F466" s="127" t="inlineStr">
        <is>
          <t>The Accounting Review; Journal of Accounting Research; Journal of Accounting &amp; Economics; Review of Accounting Studies</t>
        </is>
      </c>
    </row>
    <row r="467" ht="37.5" customHeight="1" s="91">
      <c r="A467" s="128" t="n">
        <v>16</v>
      </c>
      <c r="B467" s="128" t="inlineStr">
        <is>
          <t>UT McCombs</t>
        </is>
      </c>
      <c r="C467" s="128" t="inlineStr">
        <is>
          <t>Accounting</t>
        </is>
      </c>
      <c r="D467" s="128" t="inlineStr">
        <is>
          <t>Managerial Accounting</t>
        </is>
      </c>
      <c r="E467" s="128" t="n">
        <v>3</v>
      </c>
      <c r="F467" s="128" t="inlineStr">
        <is>
          <t>The Accounting Review; Journal of Accounting Research; Journal of Accounting &amp; Economics; Review of Accounting Studies</t>
        </is>
      </c>
    </row>
    <row r="468" ht="37.5" customHeight="1" s="91">
      <c r="A468" s="127" t="n">
        <v>16</v>
      </c>
      <c r="B468" s="127" t="inlineStr">
        <is>
          <t>UT McCombs</t>
        </is>
      </c>
      <c r="C468" s="127" t="inlineStr">
        <is>
          <t>Accounting</t>
        </is>
      </c>
      <c r="D468" s="127" t="inlineStr">
        <is>
          <t>Auditing &amp; Assurance</t>
        </is>
      </c>
      <c r="E468" s="127" t="n">
        <v>3</v>
      </c>
      <c r="F468" s="127" t="inlineStr">
        <is>
          <t>The Accounting Review; Journal of Accounting Research; Journal of Accounting &amp; Economics; Review of Accounting Studies</t>
        </is>
      </c>
    </row>
    <row r="469" ht="37.5" customHeight="1" s="91">
      <c r="A469" s="128" t="n">
        <v>16</v>
      </c>
      <c r="B469" s="128" t="inlineStr">
        <is>
          <t>UT McCombs</t>
        </is>
      </c>
      <c r="C469" s="128" t="inlineStr">
        <is>
          <t>Accounting</t>
        </is>
      </c>
      <c r="D469" s="128" t="inlineStr">
        <is>
          <t>Tax</t>
        </is>
      </c>
      <c r="E469" s="128" t="n">
        <v>2</v>
      </c>
      <c r="F469" s="128" t="inlineStr">
        <is>
          <t>The Accounting Review; Journal of Accounting Research; Journal of Accounting &amp; Economics; Review of Accounting Studies</t>
        </is>
      </c>
    </row>
    <row r="470" ht="37.5" customHeight="1" s="91">
      <c r="A470" s="127" t="n">
        <v>16</v>
      </c>
      <c r="B470" s="127" t="inlineStr">
        <is>
          <t>UT McCombs</t>
        </is>
      </c>
      <c r="C470" s="127" t="inlineStr">
        <is>
          <t>Business, Government &amp; Society</t>
        </is>
      </c>
      <c r="D470" s="127" t="inlineStr">
        <is>
          <t>Theory</t>
        </is>
      </c>
      <c r="E470" s="127" t="n">
        <v>3</v>
      </c>
      <c r="F470" s="127" t="inlineStr">
        <is>
          <t>Management Science; Academy of Management Journal; Journal of Business Research; Strategic Management Journal</t>
        </is>
      </c>
    </row>
    <row r="471" ht="37.5" customHeight="1" s="91">
      <c r="A471" s="128" t="n">
        <v>16</v>
      </c>
      <c r="B471" s="128" t="inlineStr">
        <is>
          <t>UT McCombs</t>
        </is>
      </c>
      <c r="C471" s="128" t="inlineStr">
        <is>
          <t>Business, Government &amp; Society</t>
        </is>
      </c>
      <c r="D471" s="128" t="inlineStr">
        <is>
          <t>Empirical Research</t>
        </is>
      </c>
      <c r="E471" s="128" t="n">
        <v>3</v>
      </c>
      <c r="F471" s="128" t="inlineStr">
        <is>
          <t>Management Science; Academy of Management Journal; Journal of Business Research; Strategic Management Journal</t>
        </is>
      </c>
    </row>
    <row r="472" ht="37.5" customHeight="1" s="91">
      <c r="A472" s="127" t="n">
        <v>16</v>
      </c>
      <c r="B472" s="127" t="inlineStr">
        <is>
          <t>UT McCombs</t>
        </is>
      </c>
      <c r="C472" s="127" t="inlineStr">
        <is>
          <t>Business, Government &amp; Society</t>
        </is>
      </c>
      <c r="D472" s="127" t="inlineStr">
        <is>
          <t>Applied Research</t>
        </is>
      </c>
      <c r="E472" s="127" t="n">
        <v>3</v>
      </c>
      <c r="F472" s="127" t="inlineStr">
        <is>
          <t>Management Science; Academy of Management Journal; Journal of Business Research; Strategic Management Journal</t>
        </is>
      </c>
    </row>
    <row r="473" ht="37.5" customHeight="1" s="91">
      <c r="A473" s="128" t="n">
        <v>16</v>
      </c>
      <c r="B473" s="128" t="inlineStr">
        <is>
          <t>UT McCombs</t>
        </is>
      </c>
      <c r="C473" s="128" t="inlineStr">
        <is>
          <t>Business, Government &amp; Society</t>
        </is>
      </c>
      <c r="D473" s="128" t="inlineStr">
        <is>
          <t>Policy</t>
        </is>
      </c>
      <c r="E473" s="128" t="n">
        <v>2</v>
      </c>
      <c r="F473" s="128" t="inlineStr">
        <is>
          <t>Management Science; Academy of Management Journal; Journal of Business Research; Strategic Management Journal</t>
        </is>
      </c>
    </row>
    <row r="474" ht="37.5" customHeight="1" s="91">
      <c r="A474" s="127" t="n">
        <v>16</v>
      </c>
      <c r="B474" s="127" t="inlineStr">
        <is>
          <t>UT McCombs</t>
        </is>
      </c>
      <c r="C474" s="127" t="inlineStr">
        <is>
          <t>Finance</t>
        </is>
      </c>
      <c r="D474" s="127" t="inlineStr">
        <is>
          <t>Corporate Finance</t>
        </is>
      </c>
      <c r="E474" s="127" t="n">
        <v>4</v>
      </c>
      <c r="F474" s="127" t="inlineStr">
        <is>
          <t>Journal of Finance; Review of Financial Studies; Journal of Financial Economics; Journal of Financial &amp; Quantitative Analysis</t>
        </is>
      </c>
    </row>
    <row r="475" ht="37.5" customHeight="1" s="91">
      <c r="A475" s="128" t="n">
        <v>16</v>
      </c>
      <c r="B475" s="128" t="inlineStr">
        <is>
          <t>UT McCombs</t>
        </is>
      </c>
      <c r="C475" s="128" t="inlineStr">
        <is>
          <t>Finance</t>
        </is>
      </c>
      <c r="D475" s="128" t="inlineStr">
        <is>
          <t>Asset Pricing</t>
        </is>
      </c>
      <c r="E475" s="128" t="n">
        <v>4</v>
      </c>
      <c r="F475" s="128" t="inlineStr">
        <is>
          <t>Journal of Finance; Review of Financial Studies; Journal of Financial Economics; Journal of Financial &amp; Quantitative Analysis</t>
        </is>
      </c>
    </row>
    <row r="476" ht="37.5" customHeight="1" s="91">
      <c r="A476" s="127" t="n">
        <v>16</v>
      </c>
      <c r="B476" s="127" t="inlineStr">
        <is>
          <t>UT McCombs</t>
        </is>
      </c>
      <c r="C476" s="127" t="inlineStr">
        <is>
          <t>Finance</t>
        </is>
      </c>
      <c r="D476" s="127" t="inlineStr">
        <is>
          <t>Banking &amp; Financial Institutions</t>
        </is>
      </c>
      <c r="E476" s="127" t="n">
        <v>3</v>
      </c>
      <c r="F476" s="127" t="inlineStr">
        <is>
          <t>Journal of Finance; Review of Financial Studies; Journal of Financial Economics; Journal of Financial &amp; Quantitative Analysis</t>
        </is>
      </c>
    </row>
    <row r="477" ht="37.5" customHeight="1" s="91">
      <c r="A477" s="128" t="n">
        <v>16</v>
      </c>
      <c r="B477" s="128" t="inlineStr">
        <is>
          <t>UT McCombs</t>
        </is>
      </c>
      <c r="C477" s="128" t="inlineStr">
        <is>
          <t>Finance</t>
        </is>
      </c>
      <c r="D477" s="128" t="inlineStr">
        <is>
          <t>International Finance</t>
        </is>
      </c>
      <c r="E477" s="128" t="n">
        <v>3</v>
      </c>
      <c r="F477" s="128" t="inlineStr">
        <is>
          <t>Journal of Finance; Review of Financial Studies; Journal of Financial Economics; Journal of Financial &amp; Quantitative Analysis</t>
        </is>
      </c>
    </row>
    <row r="478" ht="37.5" customHeight="1" s="91">
      <c r="A478" s="127" t="n">
        <v>16</v>
      </c>
      <c r="B478" s="127" t="inlineStr">
        <is>
          <t>UT McCombs</t>
        </is>
      </c>
      <c r="C478" s="127" t="inlineStr">
        <is>
          <t>Information, Risk &amp; Operations Management</t>
        </is>
      </c>
      <c r="D478" s="127" t="inlineStr">
        <is>
          <t>Supply Chain Management</t>
        </is>
      </c>
      <c r="E478" s="127" t="n">
        <v>3</v>
      </c>
      <c r="F478" s="127" t="inlineStr">
        <is>
          <t>Management Science; Operations Research; Manufacturing &amp; Service Operations Management; Production &amp; Operations Management</t>
        </is>
      </c>
    </row>
    <row r="479" ht="37.5" customHeight="1" s="91">
      <c r="A479" s="128" t="n">
        <v>16</v>
      </c>
      <c r="B479" s="128" t="inlineStr">
        <is>
          <t>UT McCombs</t>
        </is>
      </c>
      <c r="C479" s="128" t="inlineStr">
        <is>
          <t>Information, Risk &amp; Operations Management</t>
        </is>
      </c>
      <c r="D479" s="128" t="inlineStr">
        <is>
          <t>Operations Research</t>
        </is>
      </c>
      <c r="E479" s="128" t="n">
        <v>3</v>
      </c>
      <c r="F479" s="128" t="inlineStr">
        <is>
          <t>Management Science; Operations Research; Manufacturing &amp; Service Operations Management; Production &amp; Operations Management</t>
        </is>
      </c>
    </row>
    <row r="480" ht="37.5" customHeight="1" s="91">
      <c r="A480" s="127" t="n">
        <v>16</v>
      </c>
      <c r="B480" s="127" t="inlineStr">
        <is>
          <t>UT McCombs</t>
        </is>
      </c>
      <c r="C480" s="127" t="inlineStr">
        <is>
          <t>Information, Risk &amp; Operations Management</t>
        </is>
      </c>
      <c r="D480" s="127" t="inlineStr">
        <is>
          <t>Process Optimization</t>
        </is>
      </c>
      <c r="E480" s="127" t="n">
        <v>3</v>
      </c>
      <c r="F480" s="127" t="inlineStr">
        <is>
          <t>Management Science; Operations Research; Manufacturing &amp; Service Operations Management; Production &amp; Operations Management</t>
        </is>
      </c>
    </row>
    <row r="481" ht="37.5" customHeight="1" s="91">
      <c r="A481" s="128" t="n">
        <v>16</v>
      </c>
      <c r="B481" s="128" t="inlineStr">
        <is>
          <t>UT McCombs</t>
        </is>
      </c>
      <c r="C481" s="128" t="inlineStr">
        <is>
          <t>Information, Risk &amp; Operations Management</t>
        </is>
      </c>
      <c r="D481" s="128" t="inlineStr">
        <is>
          <t>Analytics</t>
        </is>
      </c>
      <c r="E481" s="128" t="n">
        <v>3</v>
      </c>
      <c r="F481" s="128" t="inlineStr">
        <is>
          <t>Management Science; Operations Research; Manufacturing &amp; Service Operations Management; Production &amp; Operations Management</t>
        </is>
      </c>
    </row>
    <row r="482" ht="37.5" customHeight="1" s="91">
      <c r="A482" s="127" t="n">
        <v>16</v>
      </c>
      <c r="B482" s="127" t="inlineStr">
        <is>
          <t>UT McCombs</t>
        </is>
      </c>
      <c r="C482" s="127" t="inlineStr">
        <is>
          <t>Management</t>
        </is>
      </c>
      <c r="D482" s="127" t="inlineStr">
        <is>
          <t>Strategic Management</t>
        </is>
      </c>
      <c r="E482" s="127" t="n">
        <v>3</v>
      </c>
      <c r="F482" s="127" t="inlineStr">
        <is>
          <t>Academy of Management Review; Academy of Management Journal; Administrative Science Quarterly; Strategic Management Journal</t>
        </is>
      </c>
    </row>
    <row r="483" ht="37.5" customHeight="1" s="91">
      <c r="A483" s="128" t="n">
        <v>16</v>
      </c>
      <c r="B483" s="128" t="inlineStr">
        <is>
          <t>UT McCombs</t>
        </is>
      </c>
      <c r="C483" s="128" t="inlineStr">
        <is>
          <t>Management</t>
        </is>
      </c>
      <c r="D483" s="128" t="inlineStr">
        <is>
          <t>Organizational Theory</t>
        </is>
      </c>
      <c r="E483" s="128" t="n">
        <v>3</v>
      </c>
      <c r="F483" s="128" t="inlineStr">
        <is>
          <t>Academy of Management Review; Academy of Management Journal; Administrative Science Quarterly; Strategic Management Journal</t>
        </is>
      </c>
    </row>
    <row r="484" ht="37.5" customHeight="1" s="91">
      <c r="A484" s="127" t="n">
        <v>16</v>
      </c>
      <c r="B484" s="127" t="inlineStr">
        <is>
          <t>UT McCombs</t>
        </is>
      </c>
      <c r="C484" s="127" t="inlineStr">
        <is>
          <t>Management</t>
        </is>
      </c>
      <c r="D484" s="127" t="inlineStr">
        <is>
          <t>Leadership</t>
        </is>
      </c>
      <c r="E484" s="127" t="n">
        <v>3</v>
      </c>
      <c r="F484" s="127" t="inlineStr">
        <is>
          <t>Academy of Management Review; Academy of Management Journal; Administrative Science Quarterly; Strategic Management Journal</t>
        </is>
      </c>
    </row>
    <row r="485" ht="37.5" customHeight="1" s="91">
      <c r="A485" s="128" t="n">
        <v>16</v>
      </c>
      <c r="B485" s="128" t="inlineStr">
        <is>
          <t>UT McCombs</t>
        </is>
      </c>
      <c r="C485" s="128" t="inlineStr">
        <is>
          <t>Management</t>
        </is>
      </c>
      <c r="D485" s="128" t="inlineStr">
        <is>
          <t>Entrepreneurship</t>
        </is>
      </c>
      <c r="E485" s="128" t="n">
        <v>3</v>
      </c>
      <c r="F485" s="128" t="inlineStr">
        <is>
          <t>Academy of Management Review; Academy of Management Journal; Administrative Science Quarterly; Strategic Management Journal</t>
        </is>
      </c>
    </row>
    <row r="486" ht="37.5" customHeight="1" s="91">
      <c r="A486" s="127" t="n">
        <v>16</v>
      </c>
      <c r="B486" s="127" t="inlineStr">
        <is>
          <t>UT McCombs</t>
        </is>
      </c>
      <c r="C486" s="127" t="inlineStr">
        <is>
          <t>Marketing</t>
        </is>
      </c>
      <c r="D486" s="127" t="inlineStr">
        <is>
          <t>Consumer Behavior</t>
        </is>
      </c>
      <c r="E486" s="127" t="n">
        <v>3</v>
      </c>
      <c r="F486" s="127" t="inlineStr">
        <is>
          <t>Journal of Marketing Research; Journal of Marketing; Marketing Science; Journal of Consumer Research</t>
        </is>
      </c>
    </row>
    <row r="487" ht="37.5" customHeight="1" s="91">
      <c r="A487" s="128" t="n">
        <v>16</v>
      </c>
      <c r="B487" s="128" t="inlineStr">
        <is>
          <t>UT McCombs</t>
        </is>
      </c>
      <c r="C487" s="128" t="inlineStr">
        <is>
          <t>Marketing</t>
        </is>
      </c>
      <c r="D487" s="128" t="inlineStr">
        <is>
          <t>Marketing Analytics</t>
        </is>
      </c>
      <c r="E487" s="128" t="n">
        <v>3</v>
      </c>
      <c r="F487" s="128" t="inlineStr">
        <is>
          <t>Journal of Marketing Research; Journal of Marketing; Marketing Science; Journal of Consumer Research</t>
        </is>
      </c>
    </row>
    <row r="488" ht="37.5" customHeight="1" s="91">
      <c r="A488" s="127" t="n">
        <v>16</v>
      </c>
      <c r="B488" s="127" t="inlineStr">
        <is>
          <t>UT McCombs</t>
        </is>
      </c>
      <c r="C488" s="127" t="inlineStr">
        <is>
          <t>Marketing</t>
        </is>
      </c>
      <c r="D488" s="127" t="inlineStr">
        <is>
          <t>Digital Marketing</t>
        </is>
      </c>
      <c r="E488" s="127" t="n">
        <v>3</v>
      </c>
      <c r="F488" s="127" t="inlineStr">
        <is>
          <t>Journal of Marketing Research; Journal of Marketing; Marketing Science; Journal of Consumer Research</t>
        </is>
      </c>
    </row>
    <row r="489" ht="37.5" customHeight="1" s="91">
      <c r="A489" s="128" t="n">
        <v>16</v>
      </c>
      <c r="B489" s="128" t="inlineStr">
        <is>
          <t>UT McCombs</t>
        </is>
      </c>
      <c r="C489" s="128" t="inlineStr">
        <is>
          <t>Marketing</t>
        </is>
      </c>
      <c r="D489" s="128" t="inlineStr">
        <is>
          <t>Brand Management</t>
        </is>
      </c>
      <c r="E489" s="128" t="n">
        <v>3</v>
      </c>
      <c r="F489" s="128" t="inlineStr">
        <is>
          <t>Journal of Marketing Research; Journal of Marketing; Marketing Science; Journal of Consumer Research</t>
        </is>
      </c>
    </row>
    <row r="490" ht="37.5" customHeight="1" s="91">
      <c r="A490" s="127" t="n">
        <v>17</v>
      </c>
      <c r="B490" s="127" t="inlineStr">
        <is>
          <t>Emory Goizueta</t>
        </is>
      </c>
      <c r="C490" s="127" t="inlineStr">
        <is>
          <t>Accounting</t>
        </is>
      </c>
      <c r="D490" s="127" t="inlineStr">
        <is>
          <t>Financial Accounting</t>
        </is>
      </c>
      <c r="E490" s="127" t="n">
        <v>2</v>
      </c>
      <c r="F490" s="127" t="inlineStr">
        <is>
          <t>The Accounting Review; Journal of Accounting Research; Journal of Accounting &amp; Economics; Review of Accounting Studies</t>
        </is>
      </c>
    </row>
    <row r="491" ht="37.5" customHeight="1" s="91">
      <c r="A491" s="128" t="n">
        <v>17</v>
      </c>
      <c r="B491" s="128" t="inlineStr">
        <is>
          <t>Emory Goizueta</t>
        </is>
      </c>
      <c r="C491" s="128" t="inlineStr">
        <is>
          <t>Accounting</t>
        </is>
      </c>
      <c r="D491" s="128" t="inlineStr">
        <is>
          <t>Managerial Accounting</t>
        </is>
      </c>
      <c r="E491" s="128" t="n">
        <v>2</v>
      </c>
      <c r="F491" s="128" t="inlineStr">
        <is>
          <t>The Accounting Review; Journal of Accounting Research; Journal of Accounting &amp; Economics; Review of Accounting Studies</t>
        </is>
      </c>
    </row>
    <row r="492" ht="37.5" customHeight="1" s="91">
      <c r="A492" s="127" t="n">
        <v>17</v>
      </c>
      <c r="B492" s="127" t="inlineStr">
        <is>
          <t>Emory Goizueta</t>
        </is>
      </c>
      <c r="C492" s="127" t="inlineStr">
        <is>
          <t>Accounting</t>
        </is>
      </c>
      <c r="D492" s="127" t="inlineStr">
        <is>
          <t>Auditing &amp; Assurance</t>
        </is>
      </c>
      <c r="E492" s="127" t="n">
        <v>2</v>
      </c>
      <c r="F492" s="127" t="inlineStr">
        <is>
          <t>The Accounting Review; Journal of Accounting Research; Journal of Accounting &amp; Economics; Review of Accounting Studies</t>
        </is>
      </c>
    </row>
    <row r="493" ht="37.5" customHeight="1" s="91">
      <c r="A493" s="128" t="n">
        <v>17</v>
      </c>
      <c r="B493" s="128" t="inlineStr">
        <is>
          <t>Emory Goizueta</t>
        </is>
      </c>
      <c r="C493" s="128" t="inlineStr">
        <is>
          <t>Accounting</t>
        </is>
      </c>
      <c r="D493" s="128" t="inlineStr">
        <is>
          <t>Tax</t>
        </is>
      </c>
      <c r="E493" s="128" t="n">
        <v>2</v>
      </c>
      <c r="F493" s="128" t="inlineStr">
        <is>
          <t>The Accounting Review; Journal of Accounting Research; Journal of Accounting &amp; Economics; Review of Accounting Studies</t>
        </is>
      </c>
    </row>
    <row r="494" ht="37.5" customHeight="1" s="91">
      <c r="A494" s="127" t="n">
        <v>17</v>
      </c>
      <c r="B494" s="127" t="inlineStr">
        <is>
          <t>Emory Goizueta</t>
        </is>
      </c>
      <c r="C494" s="127" t="inlineStr">
        <is>
          <t>Finance</t>
        </is>
      </c>
      <c r="D494" s="127" t="inlineStr">
        <is>
          <t>Corporate Finance</t>
        </is>
      </c>
      <c r="E494" s="127" t="n">
        <v>3</v>
      </c>
      <c r="F494" s="127" t="inlineStr">
        <is>
          <t>Journal of Finance; Review of Financial Studies; Journal of Financial Economics; Journal of Financial &amp; Quantitative Analysis</t>
        </is>
      </c>
    </row>
    <row r="495" ht="37.5" customHeight="1" s="91">
      <c r="A495" s="128" t="n">
        <v>17</v>
      </c>
      <c r="B495" s="128" t="inlineStr">
        <is>
          <t>Emory Goizueta</t>
        </is>
      </c>
      <c r="C495" s="128" t="inlineStr">
        <is>
          <t>Finance</t>
        </is>
      </c>
      <c r="D495" s="128" t="inlineStr">
        <is>
          <t>Asset Pricing</t>
        </is>
      </c>
      <c r="E495" s="128" t="n">
        <v>2</v>
      </c>
      <c r="F495" s="128" t="inlineStr">
        <is>
          <t>Journal of Finance; Review of Financial Studies; Journal of Financial Economics; Journal of Financial &amp; Quantitative Analysis</t>
        </is>
      </c>
    </row>
    <row r="496" ht="37.5" customHeight="1" s="91">
      <c r="A496" s="127" t="n">
        <v>17</v>
      </c>
      <c r="B496" s="127" t="inlineStr">
        <is>
          <t>Emory Goizueta</t>
        </is>
      </c>
      <c r="C496" s="127" t="inlineStr">
        <is>
          <t>Finance</t>
        </is>
      </c>
      <c r="D496" s="127" t="inlineStr">
        <is>
          <t>Banking &amp; Financial Institutions</t>
        </is>
      </c>
      <c r="E496" s="127" t="n">
        <v>2</v>
      </c>
      <c r="F496" s="127" t="inlineStr">
        <is>
          <t>Journal of Finance; Review of Financial Studies; Journal of Financial Economics; Journal of Financial &amp; Quantitative Analysis</t>
        </is>
      </c>
    </row>
    <row r="497" ht="37.5" customHeight="1" s="91">
      <c r="A497" s="128" t="n">
        <v>17</v>
      </c>
      <c r="B497" s="128" t="inlineStr">
        <is>
          <t>Emory Goizueta</t>
        </is>
      </c>
      <c r="C497" s="128" t="inlineStr">
        <is>
          <t>Finance</t>
        </is>
      </c>
      <c r="D497" s="128" t="inlineStr">
        <is>
          <t>International Finance</t>
        </is>
      </c>
      <c r="E497" s="128" t="n">
        <v>2</v>
      </c>
      <c r="F497" s="128" t="inlineStr">
        <is>
          <t>Journal of Finance; Review of Financial Studies; Journal of Financial Economics; Journal of Financial &amp; Quantitative Analysis</t>
        </is>
      </c>
    </row>
    <row r="498" ht="37.5" customHeight="1" s="91">
      <c r="A498" s="127" t="n">
        <v>17</v>
      </c>
      <c r="B498" s="127" t="inlineStr">
        <is>
          <t>Emory Goizueta</t>
        </is>
      </c>
      <c r="C498" s="127" t="inlineStr">
        <is>
          <t>Information Systems &amp; Operations Management</t>
        </is>
      </c>
      <c r="D498" s="127" t="inlineStr">
        <is>
          <t>Supply Chain Management</t>
        </is>
      </c>
      <c r="E498" s="127" t="n">
        <v>2</v>
      </c>
      <c r="F498" s="127" t="inlineStr">
        <is>
          <t>Management Science; Operations Research; Manufacturing &amp; Service Operations Management; Production &amp; Operations Management</t>
        </is>
      </c>
    </row>
    <row r="499" ht="37.5" customHeight="1" s="91">
      <c r="A499" s="128" t="n">
        <v>17</v>
      </c>
      <c r="B499" s="128" t="inlineStr">
        <is>
          <t>Emory Goizueta</t>
        </is>
      </c>
      <c r="C499" s="128" t="inlineStr">
        <is>
          <t>Information Systems &amp; Operations Management</t>
        </is>
      </c>
      <c r="D499" s="128" t="inlineStr">
        <is>
          <t>Operations Research</t>
        </is>
      </c>
      <c r="E499" s="128" t="n">
        <v>2</v>
      </c>
      <c r="F499" s="128" t="inlineStr">
        <is>
          <t>Management Science; Operations Research; Manufacturing &amp; Service Operations Management; Production &amp; Operations Management</t>
        </is>
      </c>
    </row>
    <row r="500" ht="37.5" customHeight="1" s="91">
      <c r="A500" s="127" t="n">
        <v>17</v>
      </c>
      <c r="B500" s="127" t="inlineStr">
        <is>
          <t>Emory Goizueta</t>
        </is>
      </c>
      <c r="C500" s="127" t="inlineStr">
        <is>
          <t>Information Systems &amp; Operations Management</t>
        </is>
      </c>
      <c r="D500" s="127" t="inlineStr">
        <is>
          <t>Process Optimization</t>
        </is>
      </c>
      <c r="E500" s="127" t="n">
        <v>2</v>
      </c>
      <c r="F500" s="127" t="inlineStr">
        <is>
          <t>Management Science; Operations Research; Manufacturing &amp; Service Operations Management; Production &amp; Operations Management</t>
        </is>
      </c>
    </row>
    <row r="501" ht="37.5" customHeight="1" s="91">
      <c r="A501" s="128" t="n">
        <v>17</v>
      </c>
      <c r="B501" s="128" t="inlineStr">
        <is>
          <t>Emory Goizueta</t>
        </is>
      </c>
      <c r="C501" s="128" t="inlineStr">
        <is>
          <t>Information Systems &amp; Operations Management</t>
        </is>
      </c>
      <c r="D501" s="128" t="inlineStr">
        <is>
          <t>Analytics</t>
        </is>
      </c>
      <c r="E501" s="128" t="n">
        <v>2</v>
      </c>
      <c r="F501" s="128" t="inlineStr">
        <is>
          <t>Management Science; Operations Research; Manufacturing &amp; Service Operations Management; Production &amp; Operations Management</t>
        </is>
      </c>
    </row>
    <row r="502" ht="37.5" customHeight="1" s="91">
      <c r="A502" s="127" t="n">
        <v>17</v>
      </c>
      <c r="B502" s="127" t="inlineStr">
        <is>
          <t>Emory Goizueta</t>
        </is>
      </c>
      <c r="C502" s="127" t="inlineStr">
        <is>
          <t>Marketing</t>
        </is>
      </c>
      <c r="D502" s="127" t="inlineStr">
        <is>
          <t>Consumer Behavior</t>
        </is>
      </c>
      <c r="E502" s="127" t="n">
        <v>2</v>
      </c>
      <c r="F502" s="127" t="inlineStr">
        <is>
          <t>Journal of Marketing Research; Journal of Marketing; Marketing Science; Journal of Consumer Research</t>
        </is>
      </c>
    </row>
    <row r="503" ht="37.5" customHeight="1" s="91">
      <c r="A503" s="128" t="n">
        <v>17</v>
      </c>
      <c r="B503" s="128" t="inlineStr">
        <is>
          <t>Emory Goizueta</t>
        </is>
      </c>
      <c r="C503" s="128" t="inlineStr">
        <is>
          <t>Marketing</t>
        </is>
      </c>
      <c r="D503" s="128" t="inlineStr">
        <is>
          <t>Marketing Analytics</t>
        </is>
      </c>
      <c r="E503" s="128" t="n">
        <v>2</v>
      </c>
      <c r="F503" s="128" t="inlineStr">
        <is>
          <t>Journal of Marketing Research; Journal of Marketing; Marketing Science; Journal of Consumer Research</t>
        </is>
      </c>
    </row>
    <row r="504" ht="37.5" customHeight="1" s="91">
      <c r="A504" s="127" t="n">
        <v>17</v>
      </c>
      <c r="B504" s="127" t="inlineStr">
        <is>
          <t>Emory Goizueta</t>
        </is>
      </c>
      <c r="C504" s="127" t="inlineStr">
        <is>
          <t>Marketing</t>
        </is>
      </c>
      <c r="D504" s="127" t="inlineStr">
        <is>
          <t>Digital Marketing</t>
        </is>
      </c>
      <c r="E504" s="127" t="n">
        <v>2</v>
      </c>
      <c r="F504" s="127" t="inlineStr">
        <is>
          <t>Journal of Marketing Research; Journal of Marketing; Marketing Science; Journal of Consumer Research</t>
        </is>
      </c>
    </row>
    <row r="505" ht="37.5" customHeight="1" s="91">
      <c r="A505" s="128" t="n">
        <v>17</v>
      </c>
      <c r="B505" s="128" t="inlineStr">
        <is>
          <t>Emory Goizueta</t>
        </is>
      </c>
      <c r="C505" s="128" t="inlineStr">
        <is>
          <t>Marketing</t>
        </is>
      </c>
      <c r="D505" s="128" t="inlineStr">
        <is>
          <t>Brand Management</t>
        </is>
      </c>
      <c r="E505" s="128" t="n">
        <v>2</v>
      </c>
      <c r="F505" s="128" t="inlineStr">
        <is>
          <t>Journal of Marketing Research; Journal of Marketing; Marketing Science; Journal of Consumer Research</t>
        </is>
      </c>
    </row>
    <row r="506" ht="37.5" customHeight="1" s="91">
      <c r="A506" s="127" t="n">
        <v>17</v>
      </c>
      <c r="B506" s="127" t="inlineStr">
        <is>
          <t>Emory Goizueta</t>
        </is>
      </c>
      <c r="C506" s="127" t="inlineStr">
        <is>
          <t>Organization &amp; Management</t>
        </is>
      </c>
      <c r="D506" s="127" t="inlineStr">
        <is>
          <t>Organizational Behavior</t>
        </is>
      </c>
      <c r="E506" s="127" t="n">
        <v>2</v>
      </c>
      <c r="F506" s="127" t="inlineStr">
        <is>
          <t>Academy of Management Journal; Organization Science; Administrative Science Quarterly; Journal of Applied Psychology</t>
        </is>
      </c>
    </row>
    <row r="507" ht="37.5" customHeight="1" s="91">
      <c r="A507" s="128" t="n">
        <v>17</v>
      </c>
      <c r="B507" s="128" t="inlineStr">
        <is>
          <t>Emory Goizueta</t>
        </is>
      </c>
      <c r="C507" s="128" t="inlineStr">
        <is>
          <t>Organization &amp; Management</t>
        </is>
      </c>
      <c r="D507" s="128" t="inlineStr">
        <is>
          <t>Human Resources</t>
        </is>
      </c>
      <c r="E507" s="128" t="n">
        <v>2</v>
      </c>
      <c r="F507" s="128" t="inlineStr">
        <is>
          <t>Academy of Management Journal; Organization Science; Administrative Science Quarterly; Journal of Applied Psychology</t>
        </is>
      </c>
    </row>
    <row r="508" ht="37.5" customHeight="1" s="91">
      <c r="A508" s="127" t="n">
        <v>17</v>
      </c>
      <c r="B508" s="127" t="inlineStr">
        <is>
          <t>Emory Goizueta</t>
        </is>
      </c>
      <c r="C508" s="127" t="inlineStr">
        <is>
          <t>Organization &amp; Management</t>
        </is>
      </c>
      <c r="D508" s="127" t="inlineStr">
        <is>
          <t>Leadership &amp; Teams</t>
        </is>
      </c>
      <c r="E508" s="127" t="n">
        <v>2</v>
      </c>
      <c r="F508" s="127" t="inlineStr">
        <is>
          <t>Academy of Management Journal; Organization Science; Administrative Science Quarterly; Journal of Applied Psychology</t>
        </is>
      </c>
    </row>
    <row r="509" ht="37.5" customHeight="1" s="91">
      <c r="A509" s="128" t="n">
        <v>17</v>
      </c>
      <c r="B509" s="128" t="inlineStr">
        <is>
          <t>Emory Goizueta</t>
        </is>
      </c>
      <c r="C509" s="128" t="inlineStr">
        <is>
          <t>Organization &amp; Management</t>
        </is>
      </c>
      <c r="D509" s="128" t="inlineStr">
        <is>
          <t>Diversity &amp; Inclusion</t>
        </is>
      </c>
      <c r="E509" s="128" t="n">
        <v>2</v>
      </c>
      <c r="F509" s="128" t="inlineStr">
        <is>
          <t>Academy of Management Journal; Organization Science; Administrative Science Quarterly; Journal of Applied Psychology</t>
        </is>
      </c>
    </row>
    <row r="510" ht="37.5" customHeight="1" s="91">
      <c r="A510" s="127" t="n">
        <v>18</v>
      </c>
      <c r="B510" s="127" t="inlineStr">
        <is>
          <t>CMU Tepper</t>
        </is>
      </c>
      <c r="C510" s="127" t="inlineStr">
        <is>
          <t>Accounting</t>
        </is>
      </c>
      <c r="D510" s="127" t="inlineStr">
        <is>
          <t>Financial Accounting</t>
        </is>
      </c>
      <c r="E510" s="127" t="n">
        <v>2</v>
      </c>
      <c r="F510" s="127" t="inlineStr">
        <is>
          <t>The Accounting Review; Journal of Accounting Research; Journal of Accounting &amp; Economics; Review of Accounting Studies</t>
        </is>
      </c>
    </row>
    <row r="511" ht="37.5" customHeight="1" s="91">
      <c r="A511" s="128" t="n">
        <v>18</v>
      </c>
      <c r="B511" s="128" t="inlineStr">
        <is>
          <t>CMU Tepper</t>
        </is>
      </c>
      <c r="C511" s="128" t="inlineStr">
        <is>
          <t>Accounting</t>
        </is>
      </c>
      <c r="D511" s="128" t="inlineStr">
        <is>
          <t>Managerial Accounting</t>
        </is>
      </c>
      <c r="E511" s="128" t="n">
        <v>2</v>
      </c>
      <c r="F511" s="128" t="inlineStr">
        <is>
          <t>The Accounting Review; Journal of Accounting Research; Journal of Accounting &amp; Economics; Review of Accounting Studies</t>
        </is>
      </c>
    </row>
    <row r="512" ht="37.5" customHeight="1" s="91">
      <c r="A512" s="127" t="n">
        <v>18</v>
      </c>
      <c r="B512" s="127" t="inlineStr">
        <is>
          <t>CMU Tepper</t>
        </is>
      </c>
      <c r="C512" s="127" t="inlineStr">
        <is>
          <t>Accounting</t>
        </is>
      </c>
      <c r="D512" s="127" t="inlineStr">
        <is>
          <t>Auditing &amp; Assurance</t>
        </is>
      </c>
      <c r="E512" s="127" t="n">
        <v>1</v>
      </c>
      <c r="F512" s="127" t="inlineStr">
        <is>
          <t>The Accounting Review; Journal of Accounting Research; Journal of Accounting &amp; Economics; Review of Accounting Studies</t>
        </is>
      </c>
    </row>
    <row r="513" ht="37.5" customHeight="1" s="91">
      <c r="A513" s="128" t="n">
        <v>18</v>
      </c>
      <c r="B513" s="128" t="inlineStr">
        <is>
          <t>CMU Tepper</t>
        </is>
      </c>
      <c r="C513" s="128" t="inlineStr">
        <is>
          <t>Accounting</t>
        </is>
      </c>
      <c r="D513" s="128" t="inlineStr">
        <is>
          <t>Tax</t>
        </is>
      </c>
      <c r="E513" s="128" t="n">
        <v>1</v>
      </c>
      <c r="F513" s="128" t="inlineStr">
        <is>
          <t>The Accounting Review; Journal of Accounting Research; Journal of Accounting &amp; Economics; Review of Accounting Studies</t>
        </is>
      </c>
    </row>
    <row r="514" ht="37.5" customHeight="1" s="91">
      <c r="A514" s="127" t="n">
        <v>18</v>
      </c>
      <c r="B514" s="127" t="inlineStr">
        <is>
          <t>CMU Tepper</t>
        </is>
      </c>
      <c r="C514" s="127" t="inlineStr">
        <is>
          <t>Economics</t>
        </is>
      </c>
      <c r="D514" s="127" t="inlineStr">
        <is>
          <t>Microeconomics</t>
        </is>
      </c>
      <c r="E514" s="127" t="n">
        <v>2</v>
      </c>
      <c r="F514" s="127" t="inlineStr">
        <is>
          <t>American Economic Review; Econometrica; Quarterly Journal of Economics; Review of Economic Studies</t>
        </is>
      </c>
    </row>
    <row r="515" ht="37.5" customHeight="1" s="91">
      <c r="A515" s="128" t="n">
        <v>18</v>
      </c>
      <c r="B515" s="128" t="inlineStr">
        <is>
          <t>CMU Tepper</t>
        </is>
      </c>
      <c r="C515" s="128" t="inlineStr">
        <is>
          <t>Economics</t>
        </is>
      </c>
      <c r="D515" s="128" t="inlineStr">
        <is>
          <t>Macroeconomics</t>
        </is>
      </c>
      <c r="E515" s="128" t="n">
        <v>2</v>
      </c>
      <c r="F515" s="128" t="inlineStr">
        <is>
          <t>American Economic Review; Econometrica; Quarterly Journal of Economics; Review of Economic Studies</t>
        </is>
      </c>
    </row>
    <row r="516" ht="37.5" customHeight="1" s="91">
      <c r="A516" s="127" t="n">
        <v>18</v>
      </c>
      <c r="B516" s="127" t="inlineStr">
        <is>
          <t>CMU Tepper</t>
        </is>
      </c>
      <c r="C516" s="127" t="inlineStr">
        <is>
          <t>Economics</t>
        </is>
      </c>
      <c r="D516" s="127" t="inlineStr">
        <is>
          <t>Applied Economics</t>
        </is>
      </c>
      <c r="E516" s="127" t="n">
        <v>2</v>
      </c>
      <c r="F516" s="127" t="inlineStr">
        <is>
          <t>American Economic Review; Econometrica; Quarterly Journal of Economics; Review of Economic Studies</t>
        </is>
      </c>
    </row>
    <row r="517" ht="37.5" customHeight="1" s="91">
      <c r="A517" s="128" t="n">
        <v>18</v>
      </c>
      <c r="B517" s="128" t="inlineStr">
        <is>
          <t>CMU Tepper</t>
        </is>
      </c>
      <c r="C517" s="128" t="inlineStr">
        <is>
          <t>Economics</t>
        </is>
      </c>
      <c r="D517" s="128" t="inlineStr">
        <is>
          <t>Industrial Organization</t>
        </is>
      </c>
      <c r="E517" s="128" t="n">
        <v>1</v>
      </c>
      <c r="F517" s="128" t="inlineStr">
        <is>
          <t>American Economic Review; Econometrica; Quarterly Journal of Economics; Review of Economic Studies</t>
        </is>
      </c>
    </row>
    <row r="518" ht="37.5" customHeight="1" s="91">
      <c r="A518" s="127" t="n">
        <v>18</v>
      </c>
      <c r="B518" s="127" t="inlineStr">
        <is>
          <t>CMU Tepper</t>
        </is>
      </c>
      <c r="C518" s="127" t="inlineStr">
        <is>
          <t>Finance</t>
        </is>
      </c>
      <c r="D518" s="127" t="inlineStr">
        <is>
          <t>Corporate Finance</t>
        </is>
      </c>
      <c r="E518" s="127" t="n">
        <v>2</v>
      </c>
      <c r="F518" s="127" t="inlineStr">
        <is>
          <t>Journal of Finance; Review of Financial Studies; Journal of Financial Economics; Journal of Financial &amp; Quantitative Analysis</t>
        </is>
      </c>
    </row>
    <row r="519" ht="37.5" customHeight="1" s="91">
      <c r="A519" s="128" t="n">
        <v>18</v>
      </c>
      <c r="B519" s="128" t="inlineStr">
        <is>
          <t>CMU Tepper</t>
        </is>
      </c>
      <c r="C519" s="128" t="inlineStr">
        <is>
          <t>Finance</t>
        </is>
      </c>
      <c r="D519" s="128" t="inlineStr">
        <is>
          <t>Asset Pricing</t>
        </is>
      </c>
      <c r="E519" s="128" t="n">
        <v>2</v>
      </c>
      <c r="F519" s="128" t="inlineStr">
        <is>
          <t>Journal of Finance; Review of Financial Studies; Journal of Financial Economics; Journal of Financial &amp; Quantitative Analysis</t>
        </is>
      </c>
    </row>
    <row r="520" ht="37.5" customHeight="1" s="91">
      <c r="A520" s="127" t="n">
        <v>18</v>
      </c>
      <c r="B520" s="127" t="inlineStr">
        <is>
          <t>CMU Tepper</t>
        </is>
      </c>
      <c r="C520" s="127" t="inlineStr">
        <is>
          <t>Finance</t>
        </is>
      </c>
      <c r="D520" s="127" t="inlineStr">
        <is>
          <t>Banking &amp; Financial Institutions</t>
        </is>
      </c>
      <c r="E520" s="127" t="n">
        <v>2</v>
      </c>
      <c r="F520" s="127" t="inlineStr">
        <is>
          <t>Journal of Finance; Review of Financial Studies; Journal of Financial Economics; Journal of Financial &amp; Quantitative Analysis</t>
        </is>
      </c>
    </row>
    <row r="521" ht="37.5" customHeight="1" s="91">
      <c r="A521" s="128" t="n">
        <v>18</v>
      </c>
      <c r="B521" s="128" t="inlineStr">
        <is>
          <t>CMU Tepper</t>
        </is>
      </c>
      <c r="C521" s="128" t="inlineStr">
        <is>
          <t>Finance</t>
        </is>
      </c>
      <c r="D521" s="128" t="inlineStr">
        <is>
          <t>International Finance</t>
        </is>
      </c>
      <c r="E521" s="128" t="n">
        <v>2</v>
      </c>
      <c r="F521" s="128" t="inlineStr">
        <is>
          <t>Journal of Finance; Review of Financial Studies; Journal of Financial Economics; Journal of Financial &amp; Quantitative Analysis</t>
        </is>
      </c>
    </row>
    <row r="522" ht="37.5" customHeight="1" s="91">
      <c r="A522" s="127" t="n">
        <v>18</v>
      </c>
      <c r="B522" s="127" t="inlineStr">
        <is>
          <t>CMU Tepper</t>
        </is>
      </c>
      <c r="C522" s="127" t="inlineStr">
        <is>
          <t>Marketing</t>
        </is>
      </c>
      <c r="D522" s="127" t="inlineStr">
        <is>
          <t>Consumer Behavior</t>
        </is>
      </c>
      <c r="E522" s="127" t="n">
        <v>2</v>
      </c>
      <c r="F522" s="127" t="inlineStr">
        <is>
          <t>Journal of Marketing Research; Journal of Marketing; Marketing Science; Journal of Consumer Research</t>
        </is>
      </c>
    </row>
    <row r="523" ht="37.5" customHeight="1" s="91">
      <c r="A523" s="128" t="n">
        <v>18</v>
      </c>
      <c r="B523" s="128" t="inlineStr">
        <is>
          <t>CMU Tepper</t>
        </is>
      </c>
      <c r="C523" s="128" t="inlineStr">
        <is>
          <t>Marketing</t>
        </is>
      </c>
      <c r="D523" s="128" t="inlineStr">
        <is>
          <t>Marketing Analytics</t>
        </is>
      </c>
      <c r="E523" s="128" t="n">
        <v>2</v>
      </c>
      <c r="F523" s="128" t="inlineStr">
        <is>
          <t>Journal of Marketing Research; Journal of Marketing; Marketing Science; Journal of Consumer Research</t>
        </is>
      </c>
    </row>
    <row r="524" ht="37.5" customHeight="1" s="91">
      <c r="A524" s="127" t="n">
        <v>18</v>
      </c>
      <c r="B524" s="127" t="inlineStr">
        <is>
          <t>CMU Tepper</t>
        </is>
      </c>
      <c r="C524" s="127" t="inlineStr">
        <is>
          <t>Marketing</t>
        </is>
      </c>
      <c r="D524" s="127" t="inlineStr">
        <is>
          <t>Digital Marketing</t>
        </is>
      </c>
      <c r="E524" s="127" t="n">
        <v>2</v>
      </c>
      <c r="F524" s="127" t="inlineStr">
        <is>
          <t>Journal of Marketing Research; Journal of Marketing; Marketing Science; Journal of Consumer Research</t>
        </is>
      </c>
    </row>
    <row r="525" ht="37.5" customHeight="1" s="91">
      <c r="A525" s="128" t="n">
        <v>18</v>
      </c>
      <c r="B525" s="128" t="inlineStr">
        <is>
          <t>CMU Tepper</t>
        </is>
      </c>
      <c r="C525" s="128" t="inlineStr">
        <is>
          <t>Marketing</t>
        </is>
      </c>
      <c r="D525" s="128" t="inlineStr">
        <is>
          <t>Brand Management</t>
        </is>
      </c>
      <c r="E525" s="128" t="n">
        <v>1</v>
      </c>
      <c r="F525" s="128" t="inlineStr">
        <is>
          <t>Journal of Marketing Research; Journal of Marketing; Marketing Science; Journal of Consumer Research</t>
        </is>
      </c>
    </row>
    <row r="526" ht="37.5" customHeight="1" s="91">
      <c r="A526" s="127" t="n">
        <v>18</v>
      </c>
      <c r="B526" s="127" t="inlineStr">
        <is>
          <t>CMU Tepper</t>
        </is>
      </c>
      <c r="C526" s="127" t="inlineStr">
        <is>
          <t>Operations Management</t>
        </is>
      </c>
      <c r="D526" s="127" t="inlineStr">
        <is>
          <t>Supply Chain Management</t>
        </is>
      </c>
      <c r="E526" s="127" t="n">
        <v>2</v>
      </c>
      <c r="F526" s="127" t="inlineStr">
        <is>
          <t>Management Science; Operations Research; Manufacturing &amp; Service Operations Management; Production &amp; Operations Management</t>
        </is>
      </c>
    </row>
    <row r="527" ht="37.5" customHeight="1" s="91">
      <c r="A527" s="128" t="n">
        <v>18</v>
      </c>
      <c r="B527" s="128" t="inlineStr">
        <is>
          <t>CMU Tepper</t>
        </is>
      </c>
      <c r="C527" s="128" t="inlineStr">
        <is>
          <t>Operations Management</t>
        </is>
      </c>
      <c r="D527" s="128" t="inlineStr">
        <is>
          <t>Operations Research</t>
        </is>
      </c>
      <c r="E527" s="128" t="n">
        <v>2</v>
      </c>
      <c r="F527" s="128" t="inlineStr">
        <is>
          <t>Management Science; Operations Research; Manufacturing &amp; Service Operations Management; Production &amp; Operations Management</t>
        </is>
      </c>
    </row>
    <row r="528" ht="37.5" customHeight="1" s="91">
      <c r="A528" s="127" t="n">
        <v>18</v>
      </c>
      <c r="B528" s="127" t="inlineStr">
        <is>
          <t>CMU Tepper</t>
        </is>
      </c>
      <c r="C528" s="127" t="inlineStr">
        <is>
          <t>Operations Management</t>
        </is>
      </c>
      <c r="D528" s="127" t="inlineStr">
        <is>
          <t>Process Optimization</t>
        </is>
      </c>
      <c r="E528" s="127" t="n">
        <v>2</v>
      </c>
      <c r="F528" s="127" t="inlineStr">
        <is>
          <t>Management Science; Operations Research; Manufacturing &amp; Service Operations Management; Production &amp; Operations Management</t>
        </is>
      </c>
    </row>
    <row r="529" ht="37.5" customHeight="1" s="91">
      <c r="A529" s="128" t="n">
        <v>18</v>
      </c>
      <c r="B529" s="128" t="inlineStr">
        <is>
          <t>CMU Tepper</t>
        </is>
      </c>
      <c r="C529" s="128" t="inlineStr">
        <is>
          <t>Operations Management</t>
        </is>
      </c>
      <c r="D529" s="128" t="inlineStr">
        <is>
          <t>Analytics</t>
        </is>
      </c>
      <c r="E529" s="128" t="n">
        <v>1</v>
      </c>
      <c r="F529" s="128" t="inlineStr">
        <is>
          <t>Management Science; Operations Research; Manufacturing &amp; Service Operations Management; Production &amp; Operations Management</t>
        </is>
      </c>
    </row>
    <row r="530" ht="37.5" customHeight="1" s="91">
      <c r="A530" s="127" t="n">
        <v>18</v>
      </c>
      <c r="B530" s="127" t="inlineStr">
        <is>
          <t>CMU Tepper</t>
        </is>
      </c>
      <c r="C530" s="127" t="inlineStr">
        <is>
          <t>Operations Research</t>
        </is>
      </c>
      <c r="D530" s="127" t="inlineStr">
        <is>
          <t>Supply Chain Management</t>
        </is>
      </c>
      <c r="E530" s="127" t="n">
        <v>2</v>
      </c>
      <c r="F530" s="127" t="inlineStr">
        <is>
          <t>Management Science; Operations Research; Manufacturing &amp; Service Operations Management; Production &amp; Operations Management</t>
        </is>
      </c>
    </row>
    <row r="531" ht="37.5" customHeight="1" s="91">
      <c r="A531" s="128" t="n">
        <v>18</v>
      </c>
      <c r="B531" s="128" t="inlineStr">
        <is>
          <t>CMU Tepper</t>
        </is>
      </c>
      <c r="C531" s="128" t="inlineStr">
        <is>
          <t>Operations Research</t>
        </is>
      </c>
      <c r="D531" s="128" t="inlineStr">
        <is>
          <t>Operations Research</t>
        </is>
      </c>
      <c r="E531" s="128" t="n">
        <v>1</v>
      </c>
      <c r="F531" s="128" t="inlineStr">
        <is>
          <t>Management Science; Operations Research; Manufacturing &amp; Service Operations Management; Production &amp; Operations Management</t>
        </is>
      </c>
    </row>
    <row r="532" ht="37.5" customHeight="1" s="91">
      <c r="A532" s="127" t="n">
        <v>18</v>
      </c>
      <c r="B532" s="127" t="inlineStr">
        <is>
          <t>CMU Tepper</t>
        </is>
      </c>
      <c r="C532" s="127" t="inlineStr">
        <is>
          <t>Operations Research</t>
        </is>
      </c>
      <c r="D532" s="127" t="inlineStr">
        <is>
          <t>Process Optimization</t>
        </is>
      </c>
      <c r="E532" s="127" t="n">
        <v>1</v>
      </c>
      <c r="F532" s="127" t="inlineStr">
        <is>
          <t>Management Science; Operations Research; Manufacturing &amp; Service Operations Management; Production &amp; Operations Management</t>
        </is>
      </c>
    </row>
    <row r="533" ht="37.5" customHeight="1" s="91">
      <c r="A533" s="128" t="n">
        <v>18</v>
      </c>
      <c r="B533" s="128" t="inlineStr">
        <is>
          <t>CMU Tepper</t>
        </is>
      </c>
      <c r="C533" s="128" t="inlineStr">
        <is>
          <t>Operations Research</t>
        </is>
      </c>
      <c r="D533" s="128" t="inlineStr">
        <is>
          <t>Analytics</t>
        </is>
      </c>
      <c r="E533" s="128" t="n">
        <v>1</v>
      </c>
      <c r="F533" s="128" t="inlineStr">
        <is>
          <t>Management Science; Operations Research; Manufacturing &amp; Service Operations Management; Production &amp; Operations Management</t>
        </is>
      </c>
    </row>
    <row r="534" ht="37.5" customHeight="1" s="91">
      <c r="A534" s="127" t="n">
        <v>18</v>
      </c>
      <c r="B534" s="127" t="inlineStr">
        <is>
          <t>CMU Tepper</t>
        </is>
      </c>
      <c r="C534" s="127" t="inlineStr">
        <is>
          <t>Organizational Behavior &amp; Theory</t>
        </is>
      </c>
      <c r="D534" s="127" t="inlineStr">
        <is>
          <t>Organizational Behavior</t>
        </is>
      </c>
      <c r="E534" s="127" t="n">
        <v>2</v>
      </c>
      <c r="F534" s="127" t="inlineStr">
        <is>
          <t>Academy of Management Journal; Organization Science; Administrative Science Quarterly; Journal of Applied Psychology</t>
        </is>
      </c>
    </row>
    <row r="535" ht="37.5" customHeight="1" s="91">
      <c r="A535" s="128" t="n">
        <v>18</v>
      </c>
      <c r="B535" s="128" t="inlineStr">
        <is>
          <t>CMU Tepper</t>
        </is>
      </c>
      <c r="C535" s="128" t="inlineStr">
        <is>
          <t>Organizational Behavior &amp; Theory</t>
        </is>
      </c>
      <c r="D535" s="128" t="inlineStr">
        <is>
          <t>Human Resources</t>
        </is>
      </c>
      <c r="E535" s="128" t="n">
        <v>2</v>
      </c>
      <c r="F535" s="128" t="inlineStr">
        <is>
          <t>Academy of Management Journal; Organization Science; Administrative Science Quarterly; Journal of Applied Psychology</t>
        </is>
      </c>
    </row>
    <row r="536" ht="37.5" customHeight="1" s="91">
      <c r="A536" s="127" t="n">
        <v>18</v>
      </c>
      <c r="B536" s="127" t="inlineStr">
        <is>
          <t>CMU Tepper</t>
        </is>
      </c>
      <c r="C536" s="127" t="inlineStr">
        <is>
          <t>Organizational Behavior &amp; Theory</t>
        </is>
      </c>
      <c r="D536" s="127" t="inlineStr">
        <is>
          <t>Leadership &amp; Teams</t>
        </is>
      </c>
      <c r="E536" s="127" t="n">
        <v>1</v>
      </c>
      <c r="F536" s="127" t="inlineStr">
        <is>
          <t>Academy of Management Journal; Organization Science; Administrative Science Quarterly; Journal of Applied Psychology</t>
        </is>
      </c>
    </row>
    <row r="537" ht="37.5" customHeight="1" s="91">
      <c r="A537" s="128" t="n">
        <v>18</v>
      </c>
      <c r="B537" s="128" t="inlineStr">
        <is>
          <t>CMU Tepper</t>
        </is>
      </c>
      <c r="C537" s="128" t="inlineStr">
        <is>
          <t>Organizational Behavior &amp; Theory</t>
        </is>
      </c>
      <c r="D537" s="128" t="inlineStr">
        <is>
          <t>Diversity &amp; Inclusion</t>
        </is>
      </c>
      <c r="E537" s="128" t="n">
        <v>1</v>
      </c>
      <c r="F537" s="128" t="inlineStr">
        <is>
          <t>Academy of Management Journal; Organization Science; Administrative Science Quarterly; Journal of Applied Psychology</t>
        </is>
      </c>
    </row>
    <row r="538" ht="37.5" customHeight="1" s="91">
      <c r="A538" s="127" t="n">
        <v>19</v>
      </c>
      <c r="B538" s="127" t="inlineStr">
        <is>
          <t>UCLA Anderson</t>
        </is>
      </c>
      <c r="C538" s="127" t="inlineStr">
        <is>
          <t>Accounting</t>
        </is>
      </c>
      <c r="D538" s="127" t="inlineStr">
        <is>
          <t>Financial Accounting</t>
        </is>
      </c>
      <c r="E538" s="127" t="n">
        <v>1</v>
      </c>
      <c r="F538" s="127" t="inlineStr">
        <is>
          <t>The Accounting Review; Journal of Accounting Research; Journal of Accounting &amp; Economics; Review of Accounting Studies</t>
        </is>
      </c>
    </row>
    <row r="539" ht="37.5" customHeight="1" s="91">
      <c r="A539" s="128" t="n">
        <v>19</v>
      </c>
      <c r="B539" s="128" t="inlineStr">
        <is>
          <t>UCLA Anderson</t>
        </is>
      </c>
      <c r="C539" s="128" t="inlineStr">
        <is>
          <t>Accounting</t>
        </is>
      </c>
      <c r="D539" s="128" t="inlineStr">
        <is>
          <t>Managerial Accounting</t>
        </is>
      </c>
      <c r="E539" s="128" t="n">
        <v>1</v>
      </c>
      <c r="F539" s="128" t="inlineStr">
        <is>
          <t>The Accounting Review; Journal of Accounting Research; Journal of Accounting &amp; Economics; Review of Accounting Studies</t>
        </is>
      </c>
    </row>
    <row r="540" ht="37.5" customHeight="1" s="91">
      <c r="A540" s="127" t="n">
        <v>19</v>
      </c>
      <c r="B540" s="127" t="inlineStr">
        <is>
          <t>UCLA Anderson</t>
        </is>
      </c>
      <c r="C540" s="127" t="inlineStr">
        <is>
          <t>Accounting</t>
        </is>
      </c>
      <c r="D540" s="127" t="inlineStr">
        <is>
          <t>Auditing &amp; Assurance</t>
        </is>
      </c>
      <c r="E540" s="127" t="n">
        <v>1</v>
      </c>
      <c r="F540" s="127" t="inlineStr">
        <is>
          <t>The Accounting Review; Journal of Accounting Research; Journal of Accounting &amp; Economics; Review of Accounting Studies</t>
        </is>
      </c>
    </row>
    <row r="541" ht="37.5" customHeight="1" s="91">
      <c r="A541" s="128" t="n">
        <v>19</v>
      </c>
      <c r="B541" s="128" t="inlineStr">
        <is>
          <t>UCLA Anderson</t>
        </is>
      </c>
      <c r="C541" s="128" t="inlineStr">
        <is>
          <t>Accounting</t>
        </is>
      </c>
      <c r="D541" s="128" t="inlineStr">
        <is>
          <t>Tax</t>
        </is>
      </c>
      <c r="E541" s="128" t="n">
        <v>1</v>
      </c>
      <c r="F541" s="128" t="inlineStr">
        <is>
          <t>The Accounting Review; Journal of Accounting Research; Journal of Accounting &amp; Economics; Review of Accounting Studies</t>
        </is>
      </c>
    </row>
    <row r="542" ht="37.5" customHeight="1" s="91">
      <c r="A542" s="127" t="n">
        <v>19</v>
      </c>
      <c r="B542" s="127" t="inlineStr">
        <is>
          <t>UCLA Anderson</t>
        </is>
      </c>
      <c r="C542" s="127" t="inlineStr">
        <is>
          <t>Behavioral Decision Making</t>
        </is>
      </c>
      <c r="D542" s="127" t="inlineStr">
        <is>
          <t>Microeconomics</t>
        </is>
      </c>
      <c r="E542" s="127" t="n">
        <v>2</v>
      </c>
      <c r="F542" s="127" t="inlineStr">
        <is>
          <t>American Economic Review; Econometrica; Quarterly Journal of Economics; Review of Economic Studies</t>
        </is>
      </c>
    </row>
    <row r="543" ht="37.5" customHeight="1" s="91">
      <c r="A543" s="128" t="n">
        <v>19</v>
      </c>
      <c r="B543" s="128" t="inlineStr">
        <is>
          <t>UCLA Anderson</t>
        </is>
      </c>
      <c r="C543" s="128" t="inlineStr">
        <is>
          <t>Behavioral Decision Making</t>
        </is>
      </c>
      <c r="D543" s="128" t="inlineStr">
        <is>
          <t>Macroeconomics</t>
        </is>
      </c>
      <c r="E543" s="128" t="n">
        <v>1</v>
      </c>
      <c r="F543" s="128" t="inlineStr">
        <is>
          <t>American Economic Review; Econometrica; Quarterly Journal of Economics; Review of Economic Studies</t>
        </is>
      </c>
    </row>
    <row r="544" ht="37.5" customHeight="1" s="91">
      <c r="A544" s="127" t="n">
        <v>19</v>
      </c>
      <c r="B544" s="127" t="inlineStr">
        <is>
          <t>UCLA Anderson</t>
        </is>
      </c>
      <c r="C544" s="127" t="inlineStr">
        <is>
          <t>Behavioral Decision Making</t>
        </is>
      </c>
      <c r="D544" s="127" t="inlineStr">
        <is>
          <t>Applied Economics</t>
        </is>
      </c>
      <c r="E544" s="127" t="n">
        <v>1</v>
      </c>
      <c r="F544" s="127" t="inlineStr">
        <is>
          <t>American Economic Review; Econometrica; Quarterly Journal of Economics; Review of Economic Studies</t>
        </is>
      </c>
    </row>
    <row r="545" ht="37.5" customHeight="1" s="91">
      <c r="A545" s="128" t="n">
        <v>19</v>
      </c>
      <c r="B545" s="128" t="inlineStr">
        <is>
          <t>UCLA Anderson</t>
        </is>
      </c>
      <c r="C545" s="128" t="inlineStr">
        <is>
          <t>Behavioral Decision Making</t>
        </is>
      </c>
      <c r="D545" s="128" t="inlineStr">
        <is>
          <t>Industrial Organization</t>
        </is>
      </c>
      <c r="E545" s="128" t="n">
        <v>1</v>
      </c>
      <c r="F545" s="128" t="inlineStr">
        <is>
          <t>American Economic Review; Econometrica; Quarterly Journal of Economics; Review of Economic Studies</t>
        </is>
      </c>
    </row>
    <row r="546" ht="37.5" customHeight="1" s="91">
      <c r="A546" s="127" t="n">
        <v>19</v>
      </c>
      <c r="B546" s="127" t="inlineStr">
        <is>
          <t>UCLA Anderson</t>
        </is>
      </c>
      <c r="C546" s="127" t="inlineStr">
        <is>
          <t>Decisions, Operations &amp; Technology Management</t>
        </is>
      </c>
      <c r="D546" s="127" t="inlineStr">
        <is>
          <t>Supply Chain Management</t>
        </is>
      </c>
      <c r="E546" s="127" t="n">
        <v>2</v>
      </c>
      <c r="F546" s="127" t="inlineStr">
        <is>
          <t>Management Science; Operations Research; Manufacturing &amp; Service Operations Management; Production &amp; Operations Management</t>
        </is>
      </c>
    </row>
    <row r="547" ht="37.5" customHeight="1" s="91">
      <c r="A547" s="128" t="n">
        <v>19</v>
      </c>
      <c r="B547" s="128" t="inlineStr">
        <is>
          <t>UCLA Anderson</t>
        </is>
      </c>
      <c r="C547" s="128" t="inlineStr">
        <is>
          <t>Decisions, Operations &amp; Technology Management</t>
        </is>
      </c>
      <c r="D547" s="128" t="inlineStr">
        <is>
          <t>Operations Research</t>
        </is>
      </c>
      <c r="E547" s="128" t="n">
        <v>1</v>
      </c>
      <c r="F547" s="128" t="inlineStr">
        <is>
          <t>Management Science; Operations Research; Manufacturing &amp; Service Operations Management; Production &amp; Operations Management</t>
        </is>
      </c>
    </row>
    <row r="548" ht="37.5" customHeight="1" s="91">
      <c r="A548" s="127" t="n">
        <v>19</v>
      </c>
      <c r="B548" s="127" t="inlineStr">
        <is>
          <t>UCLA Anderson</t>
        </is>
      </c>
      <c r="C548" s="127" t="inlineStr">
        <is>
          <t>Decisions, Operations &amp; Technology Management</t>
        </is>
      </c>
      <c r="D548" s="127" t="inlineStr">
        <is>
          <t>Process Optimization</t>
        </is>
      </c>
      <c r="E548" s="127" t="n">
        <v>1</v>
      </c>
      <c r="F548" s="127" t="inlineStr">
        <is>
          <t>Management Science; Operations Research; Manufacturing &amp; Service Operations Management; Production &amp; Operations Management</t>
        </is>
      </c>
    </row>
    <row r="549" ht="37.5" customHeight="1" s="91">
      <c r="A549" s="128" t="n">
        <v>19</v>
      </c>
      <c r="B549" s="128" t="inlineStr">
        <is>
          <t>UCLA Anderson</t>
        </is>
      </c>
      <c r="C549" s="128" t="inlineStr">
        <is>
          <t>Decisions, Operations &amp; Technology Management</t>
        </is>
      </c>
      <c r="D549" s="128" t="inlineStr">
        <is>
          <t>Analytics</t>
        </is>
      </c>
      <c r="E549" s="128" t="n">
        <v>1</v>
      </c>
      <c r="F549" s="128" t="inlineStr">
        <is>
          <t>Management Science; Operations Research; Manufacturing &amp; Service Operations Management; Production &amp; Operations Management</t>
        </is>
      </c>
    </row>
    <row r="550" ht="37.5" customHeight="1" s="91">
      <c r="A550" s="127" t="n">
        <v>19</v>
      </c>
      <c r="B550" s="127" t="inlineStr">
        <is>
          <t>UCLA Anderson</t>
        </is>
      </c>
      <c r="C550" s="127" t="inlineStr">
        <is>
          <t>Finance</t>
        </is>
      </c>
      <c r="D550" s="127" t="inlineStr">
        <is>
          <t>Corporate Finance</t>
        </is>
      </c>
      <c r="E550" s="127" t="n">
        <v>2</v>
      </c>
      <c r="F550" s="127" t="inlineStr">
        <is>
          <t>Journal of Finance; Review of Financial Studies; Journal of Financial Economics; Journal of Financial &amp; Quantitative Analysis</t>
        </is>
      </c>
    </row>
    <row r="551" ht="37.5" customHeight="1" s="91">
      <c r="A551" s="128" t="n">
        <v>19</v>
      </c>
      <c r="B551" s="128" t="inlineStr">
        <is>
          <t>UCLA Anderson</t>
        </is>
      </c>
      <c r="C551" s="128" t="inlineStr">
        <is>
          <t>Finance</t>
        </is>
      </c>
      <c r="D551" s="128" t="inlineStr">
        <is>
          <t>Asset Pricing</t>
        </is>
      </c>
      <c r="E551" s="128" t="n">
        <v>1</v>
      </c>
      <c r="F551" s="128" t="inlineStr">
        <is>
          <t>Journal of Finance; Review of Financial Studies; Journal of Financial Economics; Journal of Financial &amp; Quantitative Analysis</t>
        </is>
      </c>
    </row>
    <row r="552" ht="37.5" customHeight="1" s="91">
      <c r="A552" s="127" t="n">
        <v>19</v>
      </c>
      <c r="B552" s="127" t="inlineStr">
        <is>
          <t>UCLA Anderson</t>
        </is>
      </c>
      <c r="C552" s="127" t="inlineStr">
        <is>
          <t>Finance</t>
        </is>
      </c>
      <c r="D552" s="127" t="inlineStr">
        <is>
          <t>Banking &amp; Financial Institutions</t>
        </is>
      </c>
      <c r="E552" s="127" t="n">
        <v>1</v>
      </c>
      <c r="F552" s="127" t="inlineStr">
        <is>
          <t>Journal of Finance; Review of Financial Studies; Journal of Financial Economics; Journal of Financial &amp; Quantitative Analysis</t>
        </is>
      </c>
    </row>
    <row r="553" ht="37.5" customHeight="1" s="91">
      <c r="A553" s="128" t="n">
        <v>19</v>
      </c>
      <c r="B553" s="128" t="inlineStr">
        <is>
          <t>UCLA Anderson</t>
        </is>
      </c>
      <c r="C553" s="128" t="inlineStr">
        <is>
          <t>Finance</t>
        </is>
      </c>
      <c r="D553" s="128" t="inlineStr">
        <is>
          <t>International Finance</t>
        </is>
      </c>
      <c r="E553" s="128" t="n">
        <v>1</v>
      </c>
      <c r="F553" s="128" t="inlineStr">
        <is>
          <t>Journal of Finance; Review of Financial Studies; Journal of Financial Economics; Journal of Financial &amp; Quantitative Analysis</t>
        </is>
      </c>
    </row>
    <row r="554" ht="37.5" customHeight="1" s="91">
      <c r="A554" s="127" t="n">
        <v>19</v>
      </c>
      <c r="B554" s="127" t="inlineStr">
        <is>
          <t>UCLA Anderson</t>
        </is>
      </c>
      <c r="C554" s="127" t="inlineStr">
        <is>
          <t>Global Economics &amp; Management</t>
        </is>
      </c>
      <c r="D554" s="127" t="inlineStr">
        <is>
          <t>Microeconomics</t>
        </is>
      </c>
      <c r="E554" s="127" t="n">
        <v>2</v>
      </c>
      <c r="F554" s="127" t="inlineStr">
        <is>
          <t>American Economic Review; Econometrica; Quarterly Journal of Economics; Review of Economic Studies</t>
        </is>
      </c>
    </row>
    <row r="555" ht="37.5" customHeight="1" s="91">
      <c r="A555" s="128" t="n">
        <v>19</v>
      </c>
      <c r="B555" s="128" t="inlineStr">
        <is>
          <t>UCLA Anderson</t>
        </is>
      </c>
      <c r="C555" s="128" t="inlineStr">
        <is>
          <t>Global Economics &amp; Management</t>
        </is>
      </c>
      <c r="D555" s="128" t="inlineStr">
        <is>
          <t>Macroeconomics</t>
        </is>
      </c>
      <c r="E555" s="128" t="n">
        <v>1</v>
      </c>
      <c r="F555" s="128" t="inlineStr">
        <is>
          <t>American Economic Review; Econometrica; Quarterly Journal of Economics; Review of Economic Studies</t>
        </is>
      </c>
    </row>
    <row r="556" ht="37.5" customHeight="1" s="91">
      <c r="A556" s="127" t="n">
        <v>19</v>
      </c>
      <c r="B556" s="127" t="inlineStr">
        <is>
          <t>UCLA Anderson</t>
        </is>
      </c>
      <c r="C556" s="127" t="inlineStr">
        <is>
          <t>Global Economics &amp; Management</t>
        </is>
      </c>
      <c r="D556" s="127" t="inlineStr">
        <is>
          <t>Applied Economics</t>
        </is>
      </c>
      <c r="E556" s="127" t="n">
        <v>1</v>
      </c>
      <c r="F556" s="127" t="inlineStr">
        <is>
          <t>American Economic Review; Econometrica; Quarterly Journal of Economics; Review of Economic Studies</t>
        </is>
      </c>
    </row>
    <row r="557" ht="37.5" customHeight="1" s="91">
      <c r="A557" s="128" t="n">
        <v>19</v>
      </c>
      <c r="B557" s="128" t="inlineStr">
        <is>
          <t>UCLA Anderson</t>
        </is>
      </c>
      <c r="C557" s="128" t="inlineStr">
        <is>
          <t>Global Economics &amp; Management</t>
        </is>
      </c>
      <c r="D557" s="128" t="inlineStr">
        <is>
          <t>Industrial Organization</t>
        </is>
      </c>
      <c r="E557" s="128" t="n">
        <v>1</v>
      </c>
      <c r="F557" s="128" t="inlineStr">
        <is>
          <t>American Economic Review; Econometrica; Quarterly Journal of Economics; Review of Economic Studies</t>
        </is>
      </c>
    </row>
    <row r="558" ht="37.5" customHeight="1" s="91">
      <c r="A558" s="127" t="n">
        <v>19</v>
      </c>
      <c r="B558" s="127" t="inlineStr">
        <is>
          <t>UCLA Anderson</t>
        </is>
      </c>
      <c r="C558" s="127" t="inlineStr">
        <is>
          <t>Management &amp; Organizations</t>
        </is>
      </c>
      <c r="D558" s="127" t="inlineStr">
        <is>
          <t>Organizational Behavior</t>
        </is>
      </c>
      <c r="E558" s="127" t="n">
        <v>2</v>
      </c>
      <c r="F558" s="127" t="inlineStr">
        <is>
          <t>Academy of Management Journal; Organization Science; Administrative Science Quarterly; Journal of Applied Psychology</t>
        </is>
      </c>
    </row>
    <row r="559" ht="37.5" customHeight="1" s="91">
      <c r="A559" s="128" t="n">
        <v>19</v>
      </c>
      <c r="B559" s="128" t="inlineStr">
        <is>
          <t>UCLA Anderson</t>
        </is>
      </c>
      <c r="C559" s="128" t="inlineStr">
        <is>
          <t>Management &amp; Organizations</t>
        </is>
      </c>
      <c r="D559" s="128" t="inlineStr">
        <is>
          <t>Human Resources</t>
        </is>
      </c>
      <c r="E559" s="128" t="n">
        <v>1</v>
      </c>
      <c r="F559" s="128" t="inlineStr">
        <is>
          <t>Academy of Management Journal; Organization Science; Administrative Science Quarterly; Journal of Applied Psychology</t>
        </is>
      </c>
    </row>
    <row r="560" ht="37.5" customHeight="1" s="91">
      <c r="A560" s="127" t="n">
        <v>19</v>
      </c>
      <c r="B560" s="127" t="inlineStr">
        <is>
          <t>UCLA Anderson</t>
        </is>
      </c>
      <c r="C560" s="127" t="inlineStr">
        <is>
          <t>Management &amp; Organizations</t>
        </is>
      </c>
      <c r="D560" s="127" t="inlineStr">
        <is>
          <t>Leadership &amp; Teams</t>
        </is>
      </c>
      <c r="E560" s="127" t="n">
        <v>1</v>
      </c>
      <c r="F560" s="127" t="inlineStr">
        <is>
          <t>Academy of Management Journal; Organization Science; Administrative Science Quarterly; Journal of Applied Psychology</t>
        </is>
      </c>
    </row>
    <row r="561" ht="37.5" customHeight="1" s="91">
      <c r="A561" s="128" t="n">
        <v>19</v>
      </c>
      <c r="B561" s="128" t="inlineStr">
        <is>
          <t>UCLA Anderson</t>
        </is>
      </c>
      <c r="C561" s="128" t="inlineStr">
        <is>
          <t>Management &amp; Organizations</t>
        </is>
      </c>
      <c r="D561" s="128" t="inlineStr">
        <is>
          <t>Diversity &amp; Inclusion</t>
        </is>
      </c>
      <c r="E561" s="128" t="n">
        <v>1</v>
      </c>
      <c r="F561" s="128" t="inlineStr">
        <is>
          <t>Academy of Management Journal; Organization Science; Administrative Science Quarterly; Journal of Applied Psychology</t>
        </is>
      </c>
    </row>
    <row r="562" ht="37.5" customHeight="1" s="91">
      <c r="A562" s="127" t="n">
        <v>19</v>
      </c>
      <c r="B562" s="127" t="inlineStr">
        <is>
          <t>UCLA Anderson</t>
        </is>
      </c>
      <c r="C562" s="127" t="inlineStr">
        <is>
          <t>Marketing</t>
        </is>
      </c>
      <c r="D562" s="127" t="inlineStr">
        <is>
          <t>Consumer Behavior</t>
        </is>
      </c>
      <c r="E562" s="127" t="n">
        <v>2</v>
      </c>
      <c r="F562" s="127" t="inlineStr">
        <is>
          <t>Journal of Marketing Research; Journal of Marketing; Marketing Science; Journal of Consumer Research</t>
        </is>
      </c>
    </row>
    <row r="563" ht="37.5" customHeight="1" s="91">
      <c r="A563" s="128" t="n">
        <v>19</v>
      </c>
      <c r="B563" s="128" t="inlineStr">
        <is>
          <t>UCLA Anderson</t>
        </is>
      </c>
      <c r="C563" s="128" t="inlineStr">
        <is>
          <t>Marketing</t>
        </is>
      </c>
      <c r="D563" s="128" t="inlineStr">
        <is>
          <t>Marketing Analytics</t>
        </is>
      </c>
      <c r="E563" s="128" t="n">
        <v>1</v>
      </c>
      <c r="F563" s="128" t="inlineStr">
        <is>
          <t>Journal of Marketing Research; Journal of Marketing; Marketing Science; Journal of Consumer Research</t>
        </is>
      </c>
    </row>
    <row r="564" ht="37.5" customHeight="1" s="91">
      <c r="A564" s="127" t="n">
        <v>19</v>
      </c>
      <c r="B564" s="127" t="inlineStr">
        <is>
          <t>UCLA Anderson</t>
        </is>
      </c>
      <c r="C564" s="127" t="inlineStr">
        <is>
          <t>Marketing</t>
        </is>
      </c>
      <c r="D564" s="127" t="inlineStr">
        <is>
          <t>Digital Marketing</t>
        </is>
      </c>
      <c r="E564" s="127" t="n">
        <v>1</v>
      </c>
      <c r="F564" s="127" t="inlineStr">
        <is>
          <t>Journal of Marketing Research; Journal of Marketing; Marketing Science; Journal of Consumer Research</t>
        </is>
      </c>
    </row>
    <row r="565" ht="37.5" customHeight="1" s="91">
      <c r="A565" s="128" t="n">
        <v>19</v>
      </c>
      <c r="B565" s="128" t="inlineStr">
        <is>
          <t>UCLA Anderson</t>
        </is>
      </c>
      <c r="C565" s="128" t="inlineStr">
        <is>
          <t>Marketing</t>
        </is>
      </c>
      <c r="D565" s="128" t="inlineStr">
        <is>
          <t>Brand Management</t>
        </is>
      </c>
      <c r="E565" s="128" t="n">
        <v>1</v>
      </c>
      <c r="F565" s="128" t="inlineStr">
        <is>
          <t>Journal of Marketing Research; Journal of Marketing; Marketing Science; Journal of Consumer Research</t>
        </is>
      </c>
    </row>
    <row r="566" ht="37.5" customHeight="1" s="91">
      <c r="A566" s="127" t="n">
        <v>19</v>
      </c>
      <c r="B566" s="127" t="inlineStr">
        <is>
          <t>UCLA Anderson</t>
        </is>
      </c>
      <c r="C566" s="127" t="inlineStr">
        <is>
          <t>Strategy</t>
        </is>
      </c>
      <c r="D566" s="127" t="inlineStr">
        <is>
          <t>Competitive Strategy</t>
        </is>
      </c>
      <c r="E566" s="127" t="n">
        <v>1</v>
      </c>
      <c r="F566" s="127" t="inlineStr">
        <is>
          <t>Strategic Management Journal; Academy of Management Review; Organization Science; Journal of Economics &amp; Management Strategy</t>
        </is>
      </c>
    </row>
    <row r="567" ht="37.5" customHeight="1" s="91">
      <c r="A567" s="128" t="n">
        <v>19</v>
      </c>
      <c r="B567" s="128" t="inlineStr">
        <is>
          <t>UCLA Anderson</t>
        </is>
      </c>
      <c r="C567" s="128" t="inlineStr">
        <is>
          <t>Strategy</t>
        </is>
      </c>
      <c r="D567" s="128" t="inlineStr">
        <is>
          <t>Corporate Strategy</t>
        </is>
      </c>
      <c r="E567" s="128" t="n">
        <v>1</v>
      </c>
      <c r="F567" s="128" t="inlineStr">
        <is>
          <t>Strategic Management Journal; Academy of Management Review; Organization Science; Journal of Economics &amp; Management Strategy</t>
        </is>
      </c>
    </row>
    <row r="568" ht="37.5" customHeight="1" s="91">
      <c r="A568" s="127" t="n">
        <v>19</v>
      </c>
      <c r="B568" s="127" t="inlineStr">
        <is>
          <t>UCLA Anderson</t>
        </is>
      </c>
      <c r="C568" s="127" t="inlineStr">
        <is>
          <t>Strategy</t>
        </is>
      </c>
      <c r="D568" s="127" t="inlineStr">
        <is>
          <t>Innovation</t>
        </is>
      </c>
      <c r="E568" s="127" t="n">
        <v>1</v>
      </c>
      <c r="F568" s="127" t="inlineStr">
        <is>
          <t>Strategic Management Journal; Academy of Management Review; Organization Science; Journal of Economics &amp; Management Strategy</t>
        </is>
      </c>
    </row>
    <row r="569" ht="37.5" customHeight="1" s="91">
      <c r="A569" s="128" t="n">
        <v>19</v>
      </c>
      <c r="B569" s="128" t="inlineStr">
        <is>
          <t>UCLA Anderson</t>
        </is>
      </c>
      <c r="C569" s="128" t="inlineStr">
        <is>
          <t>Strategy</t>
        </is>
      </c>
      <c r="D569" s="128" t="inlineStr">
        <is>
          <t>Strategic Management</t>
        </is>
      </c>
      <c r="E569" s="128" t="n">
        <v>1</v>
      </c>
      <c r="F569" s="128" t="inlineStr">
        <is>
          <t>Strategic Management Journal; Academy of Management Review; Organization Science; Journal of Economics &amp; Management Strategy</t>
        </is>
      </c>
    </row>
    <row r="570" ht="37.5" customHeight="1" s="91">
      <c r="A570" s="127" t="n">
        <v>20</v>
      </c>
      <c r="B570" s="127" t="inlineStr">
        <is>
          <t>Vanderbilt Owen</t>
        </is>
      </c>
      <c r="C570" s="127" t="inlineStr">
        <is>
          <t>Accounting</t>
        </is>
      </c>
      <c r="D570" s="127" t="inlineStr">
        <is>
          <t>Financial Accounting</t>
        </is>
      </c>
      <c r="E570" s="127" t="n">
        <v>2</v>
      </c>
      <c r="F570" s="127" t="inlineStr">
        <is>
          <t>The Accounting Review; Journal of Accounting Research; Journal of Accounting &amp; Economics; Review of Accounting Studies</t>
        </is>
      </c>
    </row>
    <row r="571" ht="37.5" customHeight="1" s="91">
      <c r="A571" s="128" t="n">
        <v>20</v>
      </c>
      <c r="B571" s="128" t="inlineStr">
        <is>
          <t>Vanderbilt Owen</t>
        </is>
      </c>
      <c r="C571" s="128" t="inlineStr">
        <is>
          <t>Accounting</t>
        </is>
      </c>
      <c r="D571" s="128" t="inlineStr">
        <is>
          <t>Managerial Accounting</t>
        </is>
      </c>
      <c r="E571" s="128" t="n">
        <v>1</v>
      </c>
      <c r="F571" s="128" t="inlineStr">
        <is>
          <t>The Accounting Review; Journal of Accounting Research; Journal of Accounting &amp; Economics; Review of Accounting Studies</t>
        </is>
      </c>
    </row>
    <row r="572" ht="37.5" customHeight="1" s="91">
      <c r="A572" s="127" t="n">
        <v>20</v>
      </c>
      <c r="B572" s="127" t="inlineStr">
        <is>
          <t>Vanderbilt Owen</t>
        </is>
      </c>
      <c r="C572" s="127" t="inlineStr">
        <is>
          <t>Accounting</t>
        </is>
      </c>
      <c r="D572" s="127" t="inlineStr">
        <is>
          <t>Auditing &amp; Assurance</t>
        </is>
      </c>
      <c r="E572" s="127" t="n">
        <v>1</v>
      </c>
      <c r="F572" s="127" t="inlineStr">
        <is>
          <t>The Accounting Review; Journal of Accounting Research; Journal of Accounting &amp; Economics; Review of Accounting Studies</t>
        </is>
      </c>
    </row>
    <row r="573" ht="37.5" customHeight="1" s="91">
      <c r="A573" s="128" t="n">
        <v>20</v>
      </c>
      <c r="B573" s="128" t="inlineStr">
        <is>
          <t>Vanderbilt Owen</t>
        </is>
      </c>
      <c r="C573" s="128" t="inlineStr">
        <is>
          <t>Accounting</t>
        </is>
      </c>
      <c r="D573" s="128" t="inlineStr">
        <is>
          <t>Tax</t>
        </is>
      </c>
      <c r="E573" s="128" t="n">
        <v>1</v>
      </c>
      <c r="F573" s="128" t="inlineStr">
        <is>
          <t>The Accounting Review; Journal of Accounting Research; Journal of Accounting &amp; Economics; Review of Accounting Studies</t>
        </is>
      </c>
    </row>
    <row r="574" ht="37.5" customHeight="1" s="91">
      <c r="A574" s="127" t="n">
        <v>20</v>
      </c>
      <c r="B574" s="127" t="inlineStr">
        <is>
          <t>Vanderbilt Owen</t>
        </is>
      </c>
      <c r="C574" s="127" t="inlineStr">
        <is>
          <t>Finance</t>
        </is>
      </c>
      <c r="D574" s="127" t="inlineStr">
        <is>
          <t>Corporate Finance</t>
        </is>
      </c>
      <c r="E574" s="127" t="n">
        <v>2</v>
      </c>
      <c r="F574" s="127" t="inlineStr">
        <is>
          <t>Journal of Finance; Review of Financial Studies; Journal of Financial Economics; Journal of Financial &amp; Quantitative Analysis</t>
        </is>
      </c>
    </row>
    <row r="575" ht="37.5" customHeight="1" s="91">
      <c r="A575" s="128" t="n">
        <v>20</v>
      </c>
      <c r="B575" s="128" t="inlineStr">
        <is>
          <t>Vanderbilt Owen</t>
        </is>
      </c>
      <c r="C575" s="128" t="inlineStr">
        <is>
          <t>Finance</t>
        </is>
      </c>
      <c r="D575" s="128" t="inlineStr">
        <is>
          <t>Asset Pricing</t>
        </is>
      </c>
      <c r="E575" s="128" t="n">
        <v>1</v>
      </c>
      <c r="F575" s="128" t="inlineStr">
        <is>
          <t>Journal of Finance; Review of Financial Studies; Journal of Financial Economics; Journal of Financial &amp; Quantitative Analysis</t>
        </is>
      </c>
    </row>
    <row r="576" ht="37.5" customHeight="1" s="91">
      <c r="A576" s="127" t="n">
        <v>20</v>
      </c>
      <c r="B576" s="127" t="inlineStr">
        <is>
          <t>Vanderbilt Owen</t>
        </is>
      </c>
      <c r="C576" s="127" t="inlineStr">
        <is>
          <t>Finance</t>
        </is>
      </c>
      <c r="D576" s="127" t="inlineStr">
        <is>
          <t>Banking &amp; Financial Institutions</t>
        </is>
      </c>
      <c r="E576" s="127" t="n">
        <v>1</v>
      </c>
      <c r="F576" s="127" t="inlineStr">
        <is>
          <t>Journal of Finance; Review of Financial Studies; Journal of Financial Economics; Journal of Financial &amp; Quantitative Analysis</t>
        </is>
      </c>
    </row>
    <row r="577" ht="37.5" customHeight="1" s="91">
      <c r="A577" s="128" t="n">
        <v>20</v>
      </c>
      <c r="B577" s="128" t="inlineStr">
        <is>
          <t>Vanderbilt Owen</t>
        </is>
      </c>
      <c r="C577" s="128" t="inlineStr">
        <is>
          <t>Finance</t>
        </is>
      </c>
      <c r="D577" s="128" t="inlineStr">
        <is>
          <t>International Finance</t>
        </is>
      </c>
      <c r="E577" s="128" t="n">
        <v>1</v>
      </c>
      <c r="F577" s="128" t="inlineStr">
        <is>
          <t>Journal of Finance; Review of Financial Studies; Journal of Financial Economics; Journal of Financial &amp; Quantitative Analysis</t>
        </is>
      </c>
    </row>
    <row r="578" ht="37.5" customHeight="1" s="91">
      <c r="A578" s="127" t="n">
        <v>20</v>
      </c>
      <c r="B578" s="127" t="inlineStr">
        <is>
          <t>Vanderbilt Owen</t>
        </is>
      </c>
      <c r="C578" s="127" t="inlineStr">
        <is>
          <t>Marketing</t>
        </is>
      </c>
      <c r="D578" s="127" t="inlineStr">
        <is>
          <t>Consumer Behavior</t>
        </is>
      </c>
      <c r="E578" s="127" t="n">
        <v>2</v>
      </c>
      <c r="F578" s="127" t="inlineStr">
        <is>
          <t>Journal of Marketing Research; Journal of Marketing; Marketing Science; Journal of Consumer Research</t>
        </is>
      </c>
    </row>
    <row r="579" ht="37.5" customHeight="1" s="91">
      <c r="A579" s="128" t="n">
        <v>20</v>
      </c>
      <c r="B579" s="128" t="inlineStr">
        <is>
          <t>Vanderbilt Owen</t>
        </is>
      </c>
      <c r="C579" s="128" t="inlineStr">
        <is>
          <t>Marketing</t>
        </is>
      </c>
      <c r="D579" s="128" t="inlineStr">
        <is>
          <t>Marketing Analytics</t>
        </is>
      </c>
      <c r="E579" s="128" t="n">
        <v>1</v>
      </c>
      <c r="F579" s="128" t="inlineStr">
        <is>
          <t>Journal of Marketing Research; Journal of Marketing; Marketing Science; Journal of Consumer Research</t>
        </is>
      </c>
    </row>
    <row r="580" ht="37.5" customHeight="1" s="91">
      <c r="A580" s="127" t="n">
        <v>20</v>
      </c>
      <c r="B580" s="127" t="inlineStr">
        <is>
          <t>Vanderbilt Owen</t>
        </is>
      </c>
      <c r="C580" s="127" t="inlineStr">
        <is>
          <t>Marketing</t>
        </is>
      </c>
      <c r="D580" s="127" t="inlineStr">
        <is>
          <t>Digital Marketing</t>
        </is>
      </c>
      <c r="E580" s="127" t="n">
        <v>1</v>
      </c>
      <c r="F580" s="127" t="inlineStr">
        <is>
          <t>Journal of Marketing Research; Journal of Marketing; Marketing Science; Journal of Consumer Research</t>
        </is>
      </c>
    </row>
    <row r="581" ht="37.5" customHeight="1" s="91">
      <c r="A581" s="128" t="n">
        <v>20</v>
      </c>
      <c r="B581" s="128" t="inlineStr">
        <is>
          <t>Vanderbilt Owen</t>
        </is>
      </c>
      <c r="C581" s="128" t="inlineStr">
        <is>
          <t>Marketing</t>
        </is>
      </c>
      <c r="D581" s="128" t="inlineStr">
        <is>
          <t>Brand Management</t>
        </is>
      </c>
      <c r="E581" s="128" t="n">
        <v>1</v>
      </c>
      <c r="F581" s="128" t="inlineStr">
        <is>
          <t>Journal of Marketing Research; Journal of Marketing; Marketing Science; Journal of Consumer Research</t>
        </is>
      </c>
    </row>
    <row r="582" ht="37.5" customHeight="1" s="91">
      <c r="A582" s="127" t="n">
        <v>20</v>
      </c>
      <c r="B582" s="127" t="inlineStr">
        <is>
          <t>Vanderbilt Owen</t>
        </is>
      </c>
      <c r="C582" s="127" t="inlineStr">
        <is>
          <t>Operations Management</t>
        </is>
      </c>
      <c r="D582" s="127" t="inlineStr">
        <is>
          <t>Supply Chain Management</t>
        </is>
      </c>
      <c r="E582" s="127" t="n">
        <v>2</v>
      </c>
      <c r="F582" s="127" t="inlineStr">
        <is>
          <t>Management Science; Operations Research; Manufacturing &amp; Service Operations Management; Production &amp; Operations Management</t>
        </is>
      </c>
    </row>
    <row r="583" ht="37.5" customHeight="1" s="91">
      <c r="A583" s="128" t="n">
        <v>20</v>
      </c>
      <c r="B583" s="128" t="inlineStr">
        <is>
          <t>Vanderbilt Owen</t>
        </is>
      </c>
      <c r="C583" s="128" t="inlineStr">
        <is>
          <t>Operations Management</t>
        </is>
      </c>
      <c r="D583" s="128" t="inlineStr">
        <is>
          <t>Operations Research</t>
        </is>
      </c>
      <c r="E583" s="128" t="n">
        <v>1</v>
      </c>
      <c r="F583" s="128" t="inlineStr">
        <is>
          <t>Management Science; Operations Research; Manufacturing &amp; Service Operations Management; Production &amp; Operations Management</t>
        </is>
      </c>
    </row>
    <row r="584" ht="37.5" customHeight="1" s="91">
      <c r="A584" s="127" t="n">
        <v>20</v>
      </c>
      <c r="B584" s="127" t="inlineStr">
        <is>
          <t>Vanderbilt Owen</t>
        </is>
      </c>
      <c r="C584" s="127" t="inlineStr">
        <is>
          <t>Operations Management</t>
        </is>
      </c>
      <c r="D584" s="127" t="inlineStr">
        <is>
          <t>Process Optimization</t>
        </is>
      </c>
      <c r="E584" s="127" t="n">
        <v>1</v>
      </c>
      <c r="F584" s="127" t="inlineStr">
        <is>
          <t>Management Science; Operations Research; Manufacturing &amp; Service Operations Management; Production &amp; Operations Management</t>
        </is>
      </c>
    </row>
    <row r="585" ht="37.5" customHeight="1" s="91">
      <c r="A585" s="128" t="n">
        <v>20</v>
      </c>
      <c r="B585" s="128" t="inlineStr">
        <is>
          <t>Vanderbilt Owen</t>
        </is>
      </c>
      <c r="C585" s="128" t="inlineStr">
        <is>
          <t>Operations Management</t>
        </is>
      </c>
      <c r="D585" s="128" t="inlineStr">
        <is>
          <t>Analytics</t>
        </is>
      </c>
      <c r="E585" s="128" t="n">
        <v>1</v>
      </c>
      <c r="F585" s="128" t="inlineStr">
        <is>
          <t>Management Science; Operations Research; Manufacturing &amp; Service Operations Management; Production &amp; Operations Management</t>
        </is>
      </c>
    </row>
    <row r="586" ht="37.5" customHeight="1" s="91">
      <c r="A586" s="127" t="n">
        <v>20</v>
      </c>
      <c r="B586" s="127" t="inlineStr">
        <is>
          <t>Vanderbilt Owen</t>
        </is>
      </c>
      <c r="C586" s="127" t="inlineStr">
        <is>
          <t>Organization Studies</t>
        </is>
      </c>
      <c r="D586" s="127" t="inlineStr">
        <is>
          <t>Organizational Behavior</t>
        </is>
      </c>
      <c r="E586" s="127" t="n">
        <v>2</v>
      </c>
      <c r="F586" s="127" t="inlineStr">
        <is>
          <t>Academy of Management Journal; Organization Science; Administrative Science Quarterly; Journal of Applied Psychology</t>
        </is>
      </c>
    </row>
    <row r="587" ht="37.5" customHeight="1" s="91">
      <c r="A587" s="128" t="n">
        <v>20</v>
      </c>
      <c r="B587" s="128" t="inlineStr">
        <is>
          <t>Vanderbilt Owen</t>
        </is>
      </c>
      <c r="C587" s="128" t="inlineStr">
        <is>
          <t>Organization Studies</t>
        </is>
      </c>
      <c r="D587" s="128" t="inlineStr">
        <is>
          <t>Human Resources</t>
        </is>
      </c>
      <c r="E587" s="128" t="n">
        <v>1</v>
      </c>
      <c r="F587" s="128" t="inlineStr">
        <is>
          <t>Academy of Management Journal; Organization Science; Administrative Science Quarterly; Journal of Applied Psychology</t>
        </is>
      </c>
    </row>
    <row r="588" ht="37.5" customHeight="1" s="91">
      <c r="A588" s="127" t="n">
        <v>20</v>
      </c>
      <c r="B588" s="127" t="inlineStr">
        <is>
          <t>Vanderbilt Owen</t>
        </is>
      </c>
      <c r="C588" s="127" t="inlineStr">
        <is>
          <t>Organization Studies</t>
        </is>
      </c>
      <c r="D588" s="127" t="inlineStr">
        <is>
          <t>Leadership &amp; Teams</t>
        </is>
      </c>
      <c r="E588" s="127" t="n">
        <v>1</v>
      </c>
      <c r="F588" s="127" t="inlineStr">
        <is>
          <t>Academy of Management Journal; Organization Science; Administrative Science Quarterly; Journal of Applied Psychology</t>
        </is>
      </c>
    </row>
    <row r="589" ht="37.5" customHeight="1" s="91">
      <c r="A589" s="128" t="n">
        <v>20</v>
      </c>
      <c r="B589" s="128" t="inlineStr">
        <is>
          <t>Vanderbilt Owen</t>
        </is>
      </c>
      <c r="C589" s="128" t="inlineStr">
        <is>
          <t>Organization Studies</t>
        </is>
      </c>
      <c r="D589" s="128" t="inlineStr">
        <is>
          <t>Diversity &amp; Inclusion</t>
        </is>
      </c>
      <c r="E589" s="128" t="n">
        <v>1</v>
      </c>
      <c r="F589" s="128" t="inlineStr">
        <is>
          <t>Academy of Management Journal; Organization Science; Administrative Science Quarterly; Journal of Applied Psychology</t>
        </is>
      </c>
    </row>
    <row r="590" ht="37.5" customHeight="1" s="91">
      <c r="A590" s="127" t="n">
        <v>20</v>
      </c>
      <c r="B590" s="127" t="inlineStr">
        <is>
          <t>Vanderbilt Owen</t>
        </is>
      </c>
      <c r="C590" s="127" t="inlineStr">
        <is>
          <t>Strategy</t>
        </is>
      </c>
      <c r="D590" s="127" t="inlineStr">
        <is>
          <t>Competitive Strategy</t>
        </is>
      </c>
      <c r="E590" s="127" t="n">
        <v>1</v>
      </c>
      <c r="F590" s="127" t="inlineStr">
        <is>
          <t>Strategic Management Journal; Academy of Management Review; Organization Science; Journal of Economics &amp; Management Strategy</t>
        </is>
      </c>
    </row>
    <row r="591" ht="37.5" customHeight="1" s="91">
      <c r="A591" s="128" t="n">
        <v>20</v>
      </c>
      <c r="B591" s="128" t="inlineStr">
        <is>
          <t>Vanderbilt Owen</t>
        </is>
      </c>
      <c r="C591" s="128" t="inlineStr">
        <is>
          <t>Strategy</t>
        </is>
      </c>
      <c r="D591" s="128" t="inlineStr">
        <is>
          <t>Corporate Strategy</t>
        </is>
      </c>
      <c r="E591" s="128" t="n">
        <v>1</v>
      </c>
      <c r="F591" s="128" t="inlineStr">
        <is>
          <t>Strategic Management Journal; Academy of Management Review; Organization Science; Journal of Economics &amp; Management Strategy</t>
        </is>
      </c>
    </row>
    <row r="592" ht="37.5" customHeight="1" s="91">
      <c r="A592" s="127" t="n">
        <v>20</v>
      </c>
      <c r="B592" s="127" t="inlineStr">
        <is>
          <t>Vanderbilt Owen</t>
        </is>
      </c>
      <c r="C592" s="127" t="inlineStr">
        <is>
          <t>Strategy</t>
        </is>
      </c>
      <c r="D592" s="127" t="inlineStr">
        <is>
          <t>Innovation</t>
        </is>
      </c>
      <c r="E592" s="127" t="n">
        <v>1</v>
      </c>
      <c r="F592" s="127" t="inlineStr">
        <is>
          <t>Strategic Management Journal; Academy of Management Review; Organization Science; Journal of Economics &amp; Management Strategy</t>
        </is>
      </c>
    </row>
    <row r="593" ht="37.5" customHeight="1" s="91">
      <c r="A593" s="128" t="n">
        <v>20</v>
      </c>
      <c r="B593" s="128" t="inlineStr">
        <is>
          <t>Vanderbilt Owen</t>
        </is>
      </c>
      <c r="C593" s="128" t="inlineStr">
        <is>
          <t>Strategy</t>
        </is>
      </c>
      <c r="D593" s="128" t="inlineStr">
        <is>
          <t>Strategic Management</t>
        </is>
      </c>
      <c r="E593" s="128" t="n">
        <v>1</v>
      </c>
      <c r="F593" s="128" t="inlineStr">
        <is>
          <t>Strategic Management Journal; Academy of Management Review; Organization Science; Journal of Economics &amp; Management Strategy</t>
        </is>
      </c>
    </row>
    <row r="594" ht="37.5" customHeight="1" s="91">
      <c r="A594" s="127" t="n">
        <v>21</v>
      </c>
      <c r="B594" s="127" t="inlineStr">
        <is>
          <t>WashU Olin</t>
        </is>
      </c>
      <c r="C594" s="127" t="inlineStr">
        <is>
          <t>Accounting</t>
        </is>
      </c>
      <c r="D594" s="127" t="inlineStr">
        <is>
          <t>Financial Accounting</t>
        </is>
      </c>
      <c r="E594" s="127" t="n">
        <v>2</v>
      </c>
      <c r="F594" s="127" t="inlineStr">
        <is>
          <t>The Accounting Review; Journal of Accounting Research; Journal of Accounting &amp; Economics; Review of Accounting Studies</t>
        </is>
      </c>
    </row>
    <row r="595" ht="37.5" customHeight="1" s="91">
      <c r="A595" s="128" t="n">
        <v>21</v>
      </c>
      <c r="B595" s="128" t="inlineStr">
        <is>
          <t>WashU Olin</t>
        </is>
      </c>
      <c r="C595" s="128" t="inlineStr">
        <is>
          <t>Accounting</t>
        </is>
      </c>
      <c r="D595" s="128" t="inlineStr">
        <is>
          <t>Managerial Accounting</t>
        </is>
      </c>
      <c r="E595" s="128" t="n">
        <v>2</v>
      </c>
      <c r="F595" s="128" t="inlineStr">
        <is>
          <t>The Accounting Review; Journal of Accounting Research; Journal of Accounting &amp; Economics; Review of Accounting Studies</t>
        </is>
      </c>
    </row>
    <row r="596" ht="37.5" customHeight="1" s="91">
      <c r="A596" s="127" t="n">
        <v>21</v>
      </c>
      <c r="B596" s="127" t="inlineStr">
        <is>
          <t>WashU Olin</t>
        </is>
      </c>
      <c r="C596" s="127" t="inlineStr">
        <is>
          <t>Accounting</t>
        </is>
      </c>
      <c r="D596" s="127" t="inlineStr">
        <is>
          <t>Auditing &amp; Assurance</t>
        </is>
      </c>
      <c r="E596" s="127" t="n">
        <v>2</v>
      </c>
      <c r="F596" s="127" t="inlineStr">
        <is>
          <t>The Accounting Review; Journal of Accounting Research; Journal of Accounting &amp; Economics; Review of Accounting Studies</t>
        </is>
      </c>
    </row>
    <row r="597" ht="37.5" customHeight="1" s="91">
      <c r="A597" s="128" t="n">
        <v>21</v>
      </c>
      <c r="B597" s="128" t="inlineStr">
        <is>
          <t>WashU Olin</t>
        </is>
      </c>
      <c r="C597" s="128" t="inlineStr">
        <is>
          <t>Accounting</t>
        </is>
      </c>
      <c r="D597" s="128" t="inlineStr">
        <is>
          <t>Tax</t>
        </is>
      </c>
      <c r="E597" s="128" t="n">
        <v>2</v>
      </c>
      <c r="F597" s="128" t="inlineStr">
        <is>
          <t>The Accounting Review; Journal of Accounting Research; Journal of Accounting &amp; Economics; Review of Accounting Studies</t>
        </is>
      </c>
    </row>
    <row r="598" ht="37.5" customHeight="1" s="91">
      <c r="A598" s="127" t="n">
        <v>21</v>
      </c>
      <c r="B598" s="127" t="inlineStr">
        <is>
          <t>WashU Olin</t>
        </is>
      </c>
      <c r="C598" s="127" t="inlineStr">
        <is>
          <t>Economics &amp; Strategy</t>
        </is>
      </c>
      <c r="D598" s="127" t="inlineStr">
        <is>
          <t>Microeconomics</t>
        </is>
      </c>
      <c r="E598" s="127" t="n">
        <v>3</v>
      </c>
      <c r="F598" s="127" t="inlineStr">
        <is>
          <t>American Economic Review; Econometrica; Quarterly Journal of Economics; Review of Economic Studies</t>
        </is>
      </c>
    </row>
    <row r="599" ht="37.5" customHeight="1" s="91">
      <c r="A599" s="128" t="n">
        <v>21</v>
      </c>
      <c r="B599" s="128" t="inlineStr">
        <is>
          <t>WashU Olin</t>
        </is>
      </c>
      <c r="C599" s="128" t="inlineStr">
        <is>
          <t>Economics &amp; Strategy</t>
        </is>
      </c>
      <c r="D599" s="128" t="inlineStr">
        <is>
          <t>Macroeconomics</t>
        </is>
      </c>
      <c r="E599" s="128" t="n">
        <v>2</v>
      </c>
      <c r="F599" s="128" t="inlineStr">
        <is>
          <t>American Economic Review; Econometrica; Quarterly Journal of Economics; Review of Economic Studies</t>
        </is>
      </c>
    </row>
    <row r="600" ht="37.5" customHeight="1" s="91">
      <c r="A600" s="127" t="n">
        <v>21</v>
      </c>
      <c r="B600" s="127" t="inlineStr">
        <is>
          <t>WashU Olin</t>
        </is>
      </c>
      <c r="C600" s="127" t="inlineStr">
        <is>
          <t>Economics &amp; Strategy</t>
        </is>
      </c>
      <c r="D600" s="127" t="inlineStr">
        <is>
          <t>Applied Economics</t>
        </is>
      </c>
      <c r="E600" s="127" t="n">
        <v>2</v>
      </c>
      <c r="F600" s="127" t="inlineStr">
        <is>
          <t>American Economic Review; Econometrica; Quarterly Journal of Economics; Review of Economic Studies</t>
        </is>
      </c>
    </row>
    <row r="601" ht="37.5" customHeight="1" s="91">
      <c r="A601" s="128" t="n">
        <v>21</v>
      </c>
      <c r="B601" s="128" t="inlineStr">
        <is>
          <t>WashU Olin</t>
        </is>
      </c>
      <c r="C601" s="128" t="inlineStr">
        <is>
          <t>Economics &amp; Strategy</t>
        </is>
      </c>
      <c r="D601" s="128" t="inlineStr">
        <is>
          <t>Industrial Organization</t>
        </is>
      </c>
      <c r="E601" s="128" t="n">
        <v>2</v>
      </c>
      <c r="F601" s="128" t="inlineStr">
        <is>
          <t>American Economic Review; Econometrica; Quarterly Journal of Economics; Review of Economic Studies</t>
        </is>
      </c>
    </row>
    <row r="602" ht="37.5" customHeight="1" s="91">
      <c r="A602" s="127" t="n">
        <v>21</v>
      </c>
      <c r="B602" s="127" t="inlineStr">
        <is>
          <t>WashU Olin</t>
        </is>
      </c>
      <c r="C602" s="127" t="inlineStr">
        <is>
          <t>Finance</t>
        </is>
      </c>
      <c r="D602" s="127" t="inlineStr">
        <is>
          <t>Corporate Finance</t>
        </is>
      </c>
      <c r="E602" s="127" t="n">
        <v>3</v>
      </c>
      <c r="F602" s="127" t="inlineStr">
        <is>
          <t>Journal of Finance; Review of Financial Studies; Journal of Financial Economics; Journal of Financial &amp; Quantitative Analysis</t>
        </is>
      </c>
    </row>
    <row r="603" ht="37.5" customHeight="1" s="91">
      <c r="A603" s="128" t="n">
        <v>21</v>
      </c>
      <c r="B603" s="128" t="inlineStr">
        <is>
          <t>WashU Olin</t>
        </is>
      </c>
      <c r="C603" s="128" t="inlineStr">
        <is>
          <t>Finance</t>
        </is>
      </c>
      <c r="D603" s="128" t="inlineStr">
        <is>
          <t>Asset Pricing</t>
        </is>
      </c>
      <c r="E603" s="128" t="n">
        <v>3</v>
      </c>
      <c r="F603" s="128" t="inlineStr">
        <is>
          <t>Journal of Finance; Review of Financial Studies; Journal of Financial Economics; Journal of Financial &amp; Quantitative Analysis</t>
        </is>
      </c>
    </row>
    <row r="604" ht="37.5" customHeight="1" s="91">
      <c r="A604" s="127" t="n">
        <v>21</v>
      </c>
      <c r="B604" s="127" t="inlineStr">
        <is>
          <t>WashU Olin</t>
        </is>
      </c>
      <c r="C604" s="127" t="inlineStr">
        <is>
          <t>Finance</t>
        </is>
      </c>
      <c r="D604" s="127" t="inlineStr">
        <is>
          <t>Banking &amp; Financial Institutions</t>
        </is>
      </c>
      <c r="E604" s="127" t="n">
        <v>3</v>
      </c>
      <c r="F604" s="127" t="inlineStr">
        <is>
          <t>Journal of Finance; Review of Financial Studies; Journal of Financial Economics; Journal of Financial &amp; Quantitative Analysis</t>
        </is>
      </c>
    </row>
    <row r="605" ht="37.5" customHeight="1" s="91">
      <c r="A605" s="128" t="n">
        <v>21</v>
      </c>
      <c r="B605" s="128" t="inlineStr">
        <is>
          <t>WashU Olin</t>
        </is>
      </c>
      <c r="C605" s="128" t="inlineStr">
        <is>
          <t>Finance</t>
        </is>
      </c>
      <c r="D605" s="128" t="inlineStr">
        <is>
          <t>International Finance</t>
        </is>
      </c>
      <c r="E605" s="128" t="n">
        <v>2</v>
      </c>
      <c r="F605" s="128" t="inlineStr">
        <is>
          <t>Journal of Finance; Review of Financial Studies; Journal of Financial Economics; Journal of Financial &amp; Quantitative Analysis</t>
        </is>
      </c>
    </row>
    <row r="606" ht="37.5" customHeight="1" s="91">
      <c r="A606" s="127" t="n">
        <v>21</v>
      </c>
      <c r="B606" s="127" t="inlineStr">
        <is>
          <t>WashU Olin</t>
        </is>
      </c>
      <c r="C606" s="127" t="inlineStr">
        <is>
          <t>Marketing</t>
        </is>
      </c>
      <c r="D606" s="127" t="inlineStr">
        <is>
          <t>Consumer Behavior</t>
        </is>
      </c>
      <c r="E606" s="127" t="n">
        <v>3</v>
      </c>
      <c r="F606" s="127" t="inlineStr">
        <is>
          <t>Journal of Marketing Research; Journal of Marketing; Marketing Science; Journal of Consumer Research</t>
        </is>
      </c>
    </row>
    <row r="607" ht="37.5" customHeight="1" s="91">
      <c r="A607" s="128" t="n">
        <v>21</v>
      </c>
      <c r="B607" s="128" t="inlineStr">
        <is>
          <t>WashU Olin</t>
        </is>
      </c>
      <c r="C607" s="128" t="inlineStr">
        <is>
          <t>Marketing</t>
        </is>
      </c>
      <c r="D607" s="128" t="inlineStr">
        <is>
          <t>Marketing Analytics</t>
        </is>
      </c>
      <c r="E607" s="128" t="n">
        <v>2</v>
      </c>
      <c r="F607" s="128" t="inlineStr">
        <is>
          <t>Journal of Marketing Research; Journal of Marketing; Marketing Science; Journal of Consumer Research</t>
        </is>
      </c>
    </row>
    <row r="608" ht="37.5" customHeight="1" s="91">
      <c r="A608" s="127" t="n">
        <v>21</v>
      </c>
      <c r="B608" s="127" t="inlineStr">
        <is>
          <t>WashU Olin</t>
        </is>
      </c>
      <c r="C608" s="127" t="inlineStr">
        <is>
          <t>Marketing</t>
        </is>
      </c>
      <c r="D608" s="127" t="inlineStr">
        <is>
          <t>Digital Marketing</t>
        </is>
      </c>
      <c r="E608" s="127" t="n">
        <v>2</v>
      </c>
      <c r="F608" s="127" t="inlineStr">
        <is>
          <t>Journal of Marketing Research; Journal of Marketing; Marketing Science; Journal of Consumer Research</t>
        </is>
      </c>
    </row>
    <row r="609" ht="37.5" customHeight="1" s="91">
      <c r="A609" s="128" t="n">
        <v>21</v>
      </c>
      <c r="B609" s="128" t="inlineStr">
        <is>
          <t>WashU Olin</t>
        </is>
      </c>
      <c r="C609" s="128" t="inlineStr">
        <is>
          <t>Marketing</t>
        </is>
      </c>
      <c r="D609" s="128" t="inlineStr">
        <is>
          <t>Brand Management</t>
        </is>
      </c>
      <c r="E609" s="128" t="n">
        <v>2</v>
      </c>
      <c r="F609" s="128" t="inlineStr">
        <is>
          <t>Journal of Marketing Research; Journal of Marketing; Marketing Science; Journal of Consumer Research</t>
        </is>
      </c>
    </row>
    <row r="610" ht="37.5" customHeight="1" s="91">
      <c r="A610" s="127" t="n">
        <v>21</v>
      </c>
      <c r="B610" s="127" t="inlineStr">
        <is>
          <t>WashU Olin</t>
        </is>
      </c>
      <c r="C610" s="127" t="inlineStr">
        <is>
          <t>Organization &amp; Strategic Management</t>
        </is>
      </c>
      <c r="D610" s="127" t="inlineStr">
        <is>
          <t>Competitive Strategy</t>
        </is>
      </c>
      <c r="E610" s="127" t="n">
        <v>3</v>
      </c>
      <c r="F610" s="127" t="inlineStr">
        <is>
          <t>Strategic Management Journal; Academy of Management Review; Organization Science; Journal of Economics &amp; Management Strategy</t>
        </is>
      </c>
    </row>
    <row r="611" ht="37.5" customHeight="1" s="91">
      <c r="A611" s="128" t="n">
        <v>21</v>
      </c>
      <c r="B611" s="128" t="inlineStr">
        <is>
          <t>WashU Olin</t>
        </is>
      </c>
      <c r="C611" s="128" t="inlineStr">
        <is>
          <t>Organization &amp; Strategic Management</t>
        </is>
      </c>
      <c r="D611" s="128" t="inlineStr">
        <is>
          <t>Corporate Strategy</t>
        </is>
      </c>
      <c r="E611" s="128" t="n">
        <v>2</v>
      </c>
      <c r="F611" s="128" t="inlineStr">
        <is>
          <t>Strategic Management Journal; Academy of Management Review; Organization Science; Journal of Economics &amp; Management Strategy</t>
        </is>
      </c>
    </row>
    <row r="612" ht="37.5" customHeight="1" s="91">
      <c r="A612" s="127" t="n">
        <v>21</v>
      </c>
      <c r="B612" s="127" t="inlineStr">
        <is>
          <t>WashU Olin</t>
        </is>
      </c>
      <c r="C612" s="127" t="inlineStr">
        <is>
          <t>Organization &amp; Strategic Management</t>
        </is>
      </c>
      <c r="D612" s="127" t="inlineStr">
        <is>
          <t>Innovation</t>
        </is>
      </c>
      <c r="E612" s="127" t="n">
        <v>2</v>
      </c>
      <c r="F612" s="127" t="inlineStr">
        <is>
          <t>Strategic Management Journal; Academy of Management Review; Organization Science; Journal of Economics &amp; Management Strategy</t>
        </is>
      </c>
    </row>
    <row r="613" ht="37.5" customHeight="1" s="91">
      <c r="A613" s="128" t="n">
        <v>21</v>
      </c>
      <c r="B613" s="128" t="inlineStr">
        <is>
          <t>WashU Olin</t>
        </is>
      </c>
      <c r="C613" s="128" t="inlineStr">
        <is>
          <t>Organization &amp; Strategic Management</t>
        </is>
      </c>
      <c r="D613" s="128" t="inlineStr">
        <is>
          <t>Strategic Management</t>
        </is>
      </c>
      <c r="E613" s="128" t="n">
        <v>2</v>
      </c>
      <c r="F613" s="128" t="inlineStr">
        <is>
          <t>Strategic Management Journal; Academy of Management Review; Organization Science; Journal of Economics &amp; Management Strategy</t>
        </is>
      </c>
    </row>
    <row r="614" ht="37.5" customHeight="1" s="91">
      <c r="A614" s="127" t="n">
        <v>21</v>
      </c>
      <c r="B614" s="127" t="inlineStr">
        <is>
          <t>WashU Olin</t>
        </is>
      </c>
      <c r="C614" s="127" t="inlineStr">
        <is>
          <t>Supply Chain, Operations &amp; Technology</t>
        </is>
      </c>
      <c r="D614" s="127" t="inlineStr">
        <is>
          <t>Supply Chain Management</t>
        </is>
      </c>
      <c r="E614" s="127" t="n">
        <v>2</v>
      </c>
      <c r="F614" s="127" t="inlineStr">
        <is>
          <t>Management Science; Operations Research; Manufacturing &amp; Service Operations Management; Production &amp; Operations Management</t>
        </is>
      </c>
    </row>
    <row r="615" ht="37.5" customHeight="1" s="91">
      <c r="A615" s="128" t="n">
        <v>21</v>
      </c>
      <c r="B615" s="128" t="inlineStr">
        <is>
          <t>WashU Olin</t>
        </is>
      </c>
      <c r="C615" s="128" t="inlineStr">
        <is>
          <t>Supply Chain, Operations &amp; Technology</t>
        </is>
      </c>
      <c r="D615" s="128" t="inlineStr">
        <is>
          <t>Operations Research</t>
        </is>
      </c>
      <c r="E615" s="128" t="n">
        <v>2</v>
      </c>
      <c r="F615" s="128" t="inlineStr">
        <is>
          <t>Management Science; Operations Research; Manufacturing &amp; Service Operations Management; Production &amp; Operations Management</t>
        </is>
      </c>
    </row>
    <row r="616" ht="37.5" customHeight="1" s="91">
      <c r="A616" s="127" t="n">
        <v>21</v>
      </c>
      <c r="B616" s="127" t="inlineStr">
        <is>
          <t>WashU Olin</t>
        </is>
      </c>
      <c r="C616" s="127" t="inlineStr">
        <is>
          <t>Supply Chain, Operations &amp; Technology</t>
        </is>
      </c>
      <c r="D616" s="127" t="inlineStr">
        <is>
          <t>Process Optimization</t>
        </is>
      </c>
      <c r="E616" s="127" t="n">
        <v>2</v>
      </c>
      <c r="F616" s="127" t="inlineStr">
        <is>
          <t>Management Science; Operations Research; Manufacturing &amp; Service Operations Management; Production &amp; Operations Management</t>
        </is>
      </c>
    </row>
    <row r="617" ht="37.5" customHeight="1" s="91">
      <c r="A617" s="128" t="n">
        <v>21</v>
      </c>
      <c r="B617" s="128" t="inlineStr">
        <is>
          <t>WashU Olin</t>
        </is>
      </c>
      <c r="C617" s="128" t="inlineStr">
        <is>
          <t>Supply Chain, Operations &amp; Technology</t>
        </is>
      </c>
      <c r="D617" s="128" t="inlineStr">
        <is>
          <t>Analytics</t>
        </is>
      </c>
      <c r="E617" s="128" t="n">
        <v>2</v>
      </c>
      <c r="F617" s="128" t="inlineStr">
        <is>
          <t>Management Science; Operations Research; Manufacturing &amp; Service Operations Management; Production &amp; Operations Management</t>
        </is>
      </c>
    </row>
    <row r="618" ht="37.5" customHeight="1" s="91">
      <c r="A618" s="127" t="n">
        <v>22</v>
      </c>
      <c r="B618" s="127" t="inlineStr">
        <is>
          <t>Georgetown MSOB</t>
        </is>
      </c>
      <c r="C618" s="127" t="inlineStr">
        <is>
          <t>Accounting &amp; Business Law</t>
        </is>
      </c>
      <c r="D618" s="127" t="inlineStr">
        <is>
          <t>Financial Accounting</t>
        </is>
      </c>
      <c r="E618" s="127" t="n">
        <v>2</v>
      </c>
      <c r="F618" s="127" t="inlineStr">
        <is>
          <t>The Accounting Review; Journal of Accounting Research; Journal of Accounting &amp; Economics; Review of Accounting Studies</t>
        </is>
      </c>
    </row>
    <row r="619" ht="37.5" customHeight="1" s="91">
      <c r="A619" s="128" t="n">
        <v>22</v>
      </c>
      <c r="B619" s="128" t="inlineStr">
        <is>
          <t>Georgetown MSOB</t>
        </is>
      </c>
      <c r="C619" s="128" t="inlineStr">
        <is>
          <t>Accounting &amp; Business Law</t>
        </is>
      </c>
      <c r="D619" s="128" t="inlineStr">
        <is>
          <t>Managerial Accounting</t>
        </is>
      </c>
      <c r="E619" s="128" t="n">
        <v>2</v>
      </c>
      <c r="F619" s="128" t="inlineStr">
        <is>
          <t>The Accounting Review; Journal of Accounting Research; Journal of Accounting &amp; Economics; Review of Accounting Studies</t>
        </is>
      </c>
    </row>
    <row r="620" ht="37.5" customHeight="1" s="91">
      <c r="A620" s="127" t="n">
        <v>22</v>
      </c>
      <c r="B620" s="127" t="inlineStr">
        <is>
          <t>Georgetown MSOB</t>
        </is>
      </c>
      <c r="C620" s="127" t="inlineStr">
        <is>
          <t>Accounting &amp; Business Law</t>
        </is>
      </c>
      <c r="D620" s="127" t="inlineStr">
        <is>
          <t>Auditing &amp; Assurance</t>
        </is>
      </c>
      <c r="E620" s="127" t="n">
        <v>2</v>
      </c>
      <c r="F620" s="127" t="inlineStr">
        <is>
          <t>The Accounting Review; Journal of Accounting Research; Journal of Accounting &amp; Economics; Review of Accounting Studies</t>
        </is>
      </c>
    </row>
    <row r="621" ht="37.5" customHeight="1" s="91">
      <c r="A621" s="128" t="n">
        <v>22</v>
      </c>
      <c r="B621" s="128" t="inlineStr">
        <is>
          <t>Georgetown MSOB</t>
        </is>
      </c>
      <c r="C621" s="128" t="inlineStr">
        <is>
          <t>Accounting &amp; Business Law</t>
        </is>
      </c>
      <c r="D621" s="128" t="inlineStr">
        <is>
          <t>Tax</t>
        </is>
      </c>
      <c r="E621" s="128" t="n">
        <v>2</v>
      </c>
      <c r="F621" s="128" t="inlineStr">
        <is>
          <t>The Accounting Review; Journal of Accounting Research; Journal of Accounting &amp; Economics; Review of Accounting Studies</t>
        </is>
      </c>
    </row>
    <row r="622" ht="37.5" customHeight="1" s="91">
      <c r="A622" s="127" t="n">
        <v>22</v>
      </c>
      <c r="B622" s="127" t="inlineStr">
        <is>
          <t>Georgetown MSOB</t>
        </is>
      </c>
      <c r="C622" s="127" t="inlineStr">
        <is>
          <t>Finance</t>
        </is>
      </c>
      <c r="D622" s="127" t="inlineStr">
        <is>
          <t>Corporate Finance</t>
        </is>
      </c>
      <c r="E622" s="127" t="n">
        <v>3</v>
      </c>
      <c r="F622" s="127" t="inlineStr">
        <is>
          <t>Journal of Finance; Review of Financial Studies; Journal of Financial Economics; Journal of Financial &amp; Quantitative Analysis</t>
        </is>
      </c>
    </row>
    <row r="623" ht="37.5" customHeight="1" s="91">
      <c r="A623" s="128" t="n">
        <v>22</v>
      </c>
      <c r="B623" s="128" t="inlineStr">
        <is>
          <t>Georgetown MSOB</t>
        </is>
      </c>
      <c r="C623" s="128" t="inlineStr">
        <is>
          <t>Finance</t>
        </is>
      </c>
      <c r="D623" s="128" t="inlineStr">
        <is>
          <t>Asset Pricing</t>
        </is>
      </c>
      <c r="E623" s="128" t="n">
        <v>2</v>
      </c>
      <c r="F623" s="128" t="inlineStr">
        <is>
          <t>Journal of Finance; Review of Financial Studies; Journal of Financial Economics; Journal of Financial &amp; Quantitative Analysis</t>
        </is>
      </c>
    </row>
    <row r="624" ht="37.5" customHeight="1" s="91">
      <c r="A624" s="127" t="n">
        <v>22</v>
      </c>
      <c r="B624" s="127" t="inlineStr">
        <is>
          <t>Georgetown MSOB</t>
        </is>
      </c>
      <c r="C624" s="127" t="inlineStr">
        <is>
          <t>Finance</t>
        </is>
      </c>
      <c r="D624" s="127" t="inlineStr">
        <is>
          <t>Banking &amp; Financial Institutions</t>
        </is>
      </c>
      <c r="E624" s="127" t="n">
        <v>2</v>
      </c>
      <c r="F624" s="127" t="inlineStr">
        <is>
          <t>Journal of Finance; Review of Financial Studies; Journal of Financial Economics; Journal of Financial &amp; Quantitative Analysis</t>
        </is>
      </c>
    </row>
    <row r="625" ht="37.5" customHeight="1" s="91">
      <c r="A625" s="128" t="n">
        <v>22</v>
      </c>
      <c r="B625" s="128" t="inlineStr">
        <is>
          <t>Georgetown MSOB</t>
        </is>
      </c>
      <c r="C625" s="128" t="inlineStr">
        <is>
          <t>Finance</t>
        </is>
      </c>
      <c r="D625" s="128" t="inlineStr">
        <is>
          <t>International Finance</t>
        </is>
      </c>
      <c r="E625" s="128" t="n">
        <v>2</v>
      </c>
      <c r="F625" s="128" t="inlineStr">
        <is>
          <t>Journal of Finance; Review of Financial Studies; Journal of Financial Economics; Journal of Financial &amp; Quantitative Analysis</t>
        </is>
      </c>
    </row>
    <row r="626" ht="37.5" customHeight="1" s="91">
      <c r="A626" s="127" t="n">
        <v>22</v>
      </c>
      <c r="B626" s="127" t="inlineStr">
        <is>
          <t>Georgetown MSOB</t>
        </is>
      </c>
      <c r="C626" s="127" t="inlineStr">
        <is>
          <t>Management</t>
        </is>
      </c>
      <c r="D626" s="127" t="inlineStr">
        <is>
          <t>Strategic Management</t>
        </is>
      </c>
      <c r="E626" s="127" t="n">
        <v>2</v>
      </c>
      <c r="F626" s="127" t="inlineStr">
        <is>
          <t>Academy of Management Review; Academy of Management Journal; Administrative Science Quarterly; Strategic Management Journal</t>
        </is>
      </c>
    </row>
    <row r="627" ht="37.5" customHeight="1" s="91">
      <c r="A627" s="128" t="n">
        <v>22</v>
      </c>
      <c r="B627" s="128" t="inlineStr">
        <is>
          <t>Georgetown MSOB</t>
        </is>
      </c>
      <c r="C627" s="128" t="inlineStr">
        <is>
          <t>Management</t>
        </is>
      </c>
      <c r="D627" s="128" t="inlineStr">
        <is>
          <t>Organizational Theory</t>
        </is>
      </c>
      <c r="E627" s="128" t="n">
        <v>2</v>
      </c>
      <c r="F627" s="128" t="inlineStr">
        <is>
          <t>Academy of Management Review; Academy of Management Journal; Administrative Science Quarterly; Strategic Management Journal</t>
        </is>
      </c>
    </row>
    <row r="628" ht="37.5" customHeight="1" s="91">
      <c r="A628" s="127" t="n">
        <v>22</v>
      </c>
      <c r="B628" s="127" t="inlineStr">
        <is>
          <t>Georgetown MSOB</t>
        </is>
      </c>
      <c r="C628" s="127" t="inlineStr">
        <is>
          <t>Management</t>
        </is>
      </c>
      <c r="D628" s="127" t="inlineStr">
        <is>
          <t>Leadership</t>
        </is>
      </c>
      <c r="E628" s="127" t="n">
        <v>2</v>
      </c>
      <c r="F628" s="127" t="inlineStr">
        <is>
          <t>Academy of Management Review; Academy of Management Journal; Administrative Science Quarterly; Strategic Management Journal</t>
        </is>
      </c>
    </row>
    <row r="629" ht="37.5" customHeight="1" s="91">
      <c r="A629" s="128" t="n">
        <v>22</v>
      </c>
      <c r="B629" s="128" t="inlineStr">
        <is>
          <t>Georgetown MSOB</t>
        </is>
      </c>
      <c r="C629" s="128" t="inlineStr">
        <is>
          <t>Management</t>
        </is>
      </c>
      <c r="D629" s="128" t="inlineStr">
        <is>
          <t>Entrepreneurship</t>
        </is>
      </c>
      <c r="E629" s="128" t="n">
        <v>2</v>
      </c>
      <c r="F629" s="128" t="inlineStr">
        <is>
          <t>Academy of Management Review; Academy of Management Journal; Administrative Science Quarterly; Strategic Management Journal</t>
        </is>
      </c>
    </row>
    <row r="630" ht="37.5" customHeight="1" s="91">
      <c r="A630" s="127" t="n">
        <v>22</v>
      </c>
      <c r="B630" s="127" t="inlineStr">
        <is>
          <t>Georgetown MSOB</t>
        </is>
      </c>
      <c r="C630" s="127" t="inlineStr">
        <is>
          <t>Marketing</t>
        </is>
      </c>
      <c r="D630" s="127" t="inlineStr">
        <is>
          <t>Consumer Behavior</t>
        </is>
      </c>
      <c r="E630" s="127" t="n">
        <v>2</v>
      </c>
      <c r="F630" s="127" t="inlineStr">
        <is>
          <t>Journal of Marketing Research; Journal of Marketing; Marketing Science; Journal of Consumer Research</t>
        </is>
      </c>
    </row>
    <row r="631" ht="37.5" customHeight="1" s="91">
      <c r="A631" s="128" t="n">
        <v>22</v>
      </c>
      <c r="B631" s="128" t="inlineStr">
        <is>
          <t>Georgetown MSOB</t>
        </is>
      </c>
      <c r="C631" s="128" t="inlineStr">
        <is>
          <t>Marketing</t>
        </is>
      </c>
      <c r="D631" s="128" t="inlineStr">
        <is>
          <t>Marketing Analytics</t>
        </is>
      </c>
      <c r="E631" s="128" t="n">
        <v>2</v>
      </c>
      <c r="F631" s="128" t="inlineStr">
        <is>
          <t>Journal of Marketing Research; Journal of Marketing; Marketing Science; Journal of Consumer Research</t>
        </is>
      </c>
    </row>
    <row r="632" ht="37.5" customHeight="1" s="91">
      <c r="A632" s="127" t="n">
        <v>22</v>
      </c>
      <c r="B632" s="127" t="inlineStr">
        <is>
          <t>Georgetown MSOB</t>
        </is>
      </c>
      <c r="C632" s="127" t="inlineStr">
        <is>
          <t>Marketing</t>
        </is>
      </c>
      <c r="D632" s="127" t="inlineStr">
        <is>
          <t>Digital Marketing</t>
        </is>
      </c>
      <c r="E632" s="127" t="n">
        <v>2</v>
      </c>
      <c r="F632" s="127" t="inlineStr">
        <is>
          <t>Journal of Marketing Research; Journal of Marketing; Marketing Science; Journal of Consumer Research</t>
        </is>
      </c>
    </row>
    <row r="633" ht="37.5" customHeight="1" s="91">
      <c r="A633" s="128" t="n">
        <v>22</v>
      </c>
      <c r="B633" s="128" t="inlineStr">
        <is>
          <t>Georgetown MSOB</t>
        </is>
      </c>
      <c r="C633" s="128" t="inlineStr">
        <is>
          <t>Marketing</t>
        </is>
      </c>
      <c r="D633" s="128" t="inlineStr">
        <is>
          <t>Brand Management</t>
        </is>
      </c>
      <c r="E633" s="128" t="n">
        <v>2</v>
      </c>
      <c r="F633" s="128" t="inlineStr">
        <is>
          <t>Journal of Marketing Research; Journal of Marketing; Marketing Science; Journal of Consumer Research</t>
        </is>
      </c>
    </row>
    <row r="634" ht="37.5" customHeight="1" s="91">
      <c r="A634" s="127" t="n">
        <v>22</v>
      </c>
      <c r="B634" s="127" t="inlineStr">
        <is>
          <t>Georgetown MSOB</t>
        </is>
      </c>
      <c r="C634" s="127" t="inlineStr">
        <is>
          <t>Operations &amp; Analytics</t>
        </is>
      </c>
      <c r="D634" s="127" t="inlineStr">
        <is>
          <t>Supply Chain Management</t>
        </is>
      </c>
      <c r="E634" s="127" t="n">
        <v>2</v>
      </c>
      <c r="F634" s="127" t="inlineStr">
        <is>
          <t>Management Science; Operations Research; Manufacturing &amp; Service Operations Management; Production &amp; Operations Management</t>
        </is>
      </c>
    </row>
    <row r="635" ht="37.5" customHeight="1" s="91">
      <c r="A635" s="128" t="n">
        <v>22</v>
      </c>
      <c r="B635" s="128" t="inlineStr">
        <is>
          <t>Georgetown MSOB</t>
        </is>
      </c>
      <c r="C635" s="128" t="inlineStr">
        <is>
          <t>Operations &amp; Analytics</t>
        </is>
      </c>
      <c r="D635" s="128" t="inlineStr">
        <is>
          <t>Operations Research</t>
        </is>
      </c>
      <c r="E635" s="128" t="n">
        <v>2</v>
      </c>
      <c r="F635" s="128" t="inlineStr">
        <is>
          <t>Management Science; Operations Research; Manufacturing &amp; Service Operations Management; Production &amp; Operations Management</t>
        </is>
      </c>
    </row>
    <row r="636" ht="37.5" customHeight="1" s="91">
      <c r="A636" s="127" t="n">
        <v>22</v>
      </c>
      <c r="B636" s="127" t="inlineStr">
        <is>
          <t>Georgetown MSOB</t>
        </is>
      </c>
      <c r="C636" s="127" t="inlineStr">
        <is>
          <t>Operations &amp; Analytics</t>
        </is>
      </c>
      <c r="D636" s="127" t="inlineStr">
        <is>
          <t>Process Optimization</t>
        </is>
      </c>
      <c r="E636" s="127" t="n">
        <v>2</v>
      </c>
      <c r="F636" s="127" t="inlineStr">
        <is>
          <t>Management Science; Operations Research; Manufacturing &amp; Service Operations Management; Production &amp; Operations Management</t>
        </is>
      </c>
    </row>
    <row r="637" ht="37.5" customHeight="1" s="91">
      <c r="A637" s="128" t="n">
        <v>22</v>
      </c>
      <c r="B637" s="128" t="inlineStr">
        <is>
          <t>Georgetown MSOB</t>
        </is>
      </c>
      <c r="C637" s="128" t="inlineStr">
        <is>
          <t>Operations &amp; Analytics</t>
        </is>
      </c>
      <c r="D637" s="128" t="inlineStr">
        <is>
          <t>Analytics</t>
        </is>
      </c>
      <c r="E637" s="128" t="n">
        <v>1</v>
      </c>
      <c r="F637" s="128" t="inlineStr">
        <is>
          <t>Management Science; Operations Research; Manufacturing &amp; Service Operations Management; Production &amp; Operations Management</t>
        </is>
      </c>
    </row>
    <row r="638" ht="37.5" customHeight="1" s="91">
      <c r="A638" s="127" t="n">
        <v>22</v>
      </c>
      <c r="B638" s="127" t="inlineStr">
        <is>
          <t>Georgetown MSOB</t>
        </is>
      </c>
      <c r="C638" s="127" t="inlineStr">
        <is>
          <t>Strategy</t>
        </is>
      </c>
      <c r="D638" s="127" t="inlineStr">
        <is>
          <t>Competitive Strategy</t>
        </is>
      </c>
      <c r="E638" s="127" t="n">
        <v>3</v>
      </c>
      <c r="F638" s="127" t="inlineStr">
        <is>
          <t>Strategic Management Journal; Academy of Management Review; Organization Science; Journal of Economics &amp; Management Strategy</t>
        </is>
      </c>
    </row>
    <row r="639" ht="37.5" customHeight="1" s="91">
      <c r="A639" s="128" t="n">
        <v>22</v>
      </c>
      <c r="B639" s="128" t="inlineStr">
        <is>
          <t>Georgetown MSOB</t>
        </is>
      </c>
      <c r="C639" s="128" t="inlineStr">
        <is>
          <t>Strategy</t>
        </is>
      </c>
      <c r="D639" s="128" t="inlineStr">
        <is>
          <t>Corporate Strategy</t>
        </is>
      </c>
      <c r="E639" s="128" t="n">
        <v>2</v>
      </c>
      <c r="F639" s="128" t="inlineStr">
        <is>
          <t>Strategic Management Journal; Academy of Management Review; Organization Science; Journal of Economics &amp; Management Strategy</t>
        </is>
      </c>
    </row>
    <row r="640" ht="37.5" customHeight="1" s="91">
      <c r="A640" s="127" t="n">
        <v>22</v>
      </c>
      <c r="B640" s="127" t="inlineStr">
        <is>
          <t>Georgetown MSOB</t>
        </is>
      </c>
      <c r="C640" s="127" t="inlineStr">
        <is>
          <t>Strategy</t>
        </is>
      </c>
      <c r="D640" s="127" t="inlineStr">
        <is>
          <t>Innovation</t>
        </is>
      </c>
      <c r="E640" s="127" t="n">
        <v>2</v>
      </c>
      <c r="F640" s="127" t="inlineStr">
        <is>
          <t>Strategic Management Journal; Academy of Management Review; Organization Science; Journal of Economics &amp; Management Strategy</t>
        </is>
      </c>
    </row>
    <row r="641" ht="37.5" customHeight="1" s="91">
      <c r="A641" s="128" t="n">
        <v>22</v>
      </c>
      <c r="B641" s="128" t="inlineStr">
        <is>
          <t>Georgetown MSOB</t>
        </is>
      </c>
      <c r="C641" s="128" t="inlineStr">
        <is>
          <t>Strategy</t>
        </is>
      </c>
      <c r="D641" s="128" t="inlineStr">
        <is>
          <t>Strategic Management</t>
        </is>
      </c>
      <c r="E641" s="128" t="n">
        <v>2</v>
      </c>
      <c r="F641" s="128" t="inlineStr">
        <is>
          <t>Strategic Management Journal; Academy of Management Review; Organization Science; Journal of Economics &amp; Management Strategy</t>
        </is>
      </c>
    </row>
    <row r="642" ht="37.5" customHeight="1" s="91">
      <c r="A642" s="127" t="n">
        <v>23</v>
      </c>
      <c r="B642" s="127" t="inlineStr">
        <is>
          <t>Indiana Kelley</t>
        </is>
      </c>
      <c r="C642" s="127" t="inlineStr">
        <is>
          <t>Accounting</t>
        </is>
      </c>
      <c r="D642" s="127" t="inlineStr">
        <is>
          <t>Financial Accounting</t>
        </is>
      </c>
      <c r="E642" s="127" t="n">
        <v>2</v>
      </c>
      <c r="F642" s="127" t="inlineStr">
        <is>
          <t>The Accounting Review; Journal of Accounting Research; Journal of Accounting &amp; Economics; Review of Accounting Studies</t>
        </is>
      </c>
    </row>
    <row r="643" ht="37.5" customHeight="1" s="91">
      <c r="A643" s="128" t="n">
        <v>23</v>
      </c>
      <c r="B643" s="128" t="inlineStr">
        <is>
          <t>Indiana Kelley</t>
        </is>
      </c>
      <c r="C643" s="128" t="inlineStr">
        <is>
          <t>Accounting</t>
        </is>
      </c>
      <c r="D643" s="128" t="inlineStr">
        <is>
          <t>Managerial Accounting</t>
        </is>
      </c>
      <c r="E643" s="128" t="n">
        <v>2</v>
      </c>
      <c r="F643" s="128" t="inlineStr">
        <is>
          <t>The Accounting Review; Journal of Accounting Research; Journal of Accounting &amp; Economics; Review of Accounting Studies</t>
        </is>
      </c>
    </row>
    <row r="644" ht="37.5" customHeight="1" s="91">
      <c r="A644" s="127" t="n">
        <v>23</v>
      </c>
      <c r="B644" s="127" t="inlineStr">
        <is>
          <t>Indiana Kelley</t>
        </is>
      </c>
      <c r="C644" s="127" t="inlineStr">
        <is>
          <t>Accounting</t>
        </is>
      </c>
      <c r="D644" s="127" t="inlineStr">
        <is>
          <t>Auditing &amp; Assurance</t>
        </is>
      </c>
      <c r="E644" s="127" t="n">
        <v>2</v>
      </c>
      <c r="F644" s="127" t="inlineStr">
        <is>
          <t>The Accounting Review; Journal of Accounting Research; Journal of Accounting &amp; Economics; Review of Accounting Studies</t>
        </is>
      </c>
    </row>
    <row r="645" ht="37.5" customHeight="1" s="91">
      <c r="A645" s="128" t="n">
        <v>23</v>
      </c>
      <c r="B645" s="128" t="inlineStr">
        <is>
          <t>Indiana Kelley</t>
        </is>
      </c>
      <c r="C645" s="128" t="inlineStr">
        <is>
          <t>Accounting</t>
        </is>
      </c>
      <c r="D645" s="128" t="inlineStr">
        <is>
          <t>Tax</t>
        </is>
      </c>
      <c r="E645" s="128" t="n">
        <v>1</v>
      </c>
      <c r="F645" s="128" t="inlineStr">
        <is>
          <t>The Accounting Review; Journal of Accounting Research; Journal of Accounting &amp; Economics; Review of Accounting Studies</t>
        </is>
      </c>
    </row>
    <row r="646" ht="37.5" customHeight="1" s="91">
      <c r="A646" s="127" t="n">
        <v>23</v>
      </c>
      <c r="B646" s="127" t="inlineStr">
        <is>
          <t>Indiana Kelley</t>
        </is>
      </c>
      <c r="C646" s="127" t="inlineStr">
        <is>
          <t>Business Economics &amp; Public Policy</t>
        </is>
      </c>
      <c r="D646" s="127" t="inlineStr">
        <is>
          <t>Microeconomics</t>
        </is>
      </c>
      <c r="E646" s="127" t="n">
        <v>2</v>
      </c>
      <c r="F646" s="127" t="inlineStr">
        <is>
          <t>American Economic Review; Econometrica; Quarterly Journal of Economics; Review of Economic Studies</t>
        </is>
      </c>
    </row>
    <row r="647" ht="37.5" customHeight="1" s="91">
      <c r="A647" s="128" t="n">
        <v>23</v>
      </c>
      <c r="B647" s="128" t="inlineStr">
        <is>
          <t>Indiana Kelley</t>
        </is>
      </c>
      <c r="C647" s="128" t="inlineStr">
        <is>
          <t>Business Economics &amp; Public Policy</t>
        </is>
      </c>
      <c r="D647" s="128" t="inlineStr">
        <is>
          <t>Macroeconomics</t>
        </is>
      </c>
      <c r="E647" s="128" t="n">
        <v>2</v>
      </c>
      <c r="F647" s="128" t="inlineStr">
        <is>
          <t>American Economic Review; Econometrica; Quarterly Journal of Economics; Review of Economic Studies</t>
        </is>
      </c>
    </row>
    <row r="648" ht="37.5" customHeight="1" s="91">
      <c r="A648" s="127" t="n">
        <v>23</v>
      </c>
      <c r="B648" s="127" t="inlineStr">
        <is>
          <t>Indiana Kelley</t>
        </is>
      </c>
      <c r="C648" s="127" t="inlineStr">
        <is>
          <t>Business Economics &amp; Public Policy</t>
        </is>
      </c>
      <c r="D648" s="127" t="inlineStr">
        <is>
          <t>Applied Economics</t>
        </is>
      </c>
      <c r="E648" s="127" t="n">
        <v>2</v>
      </c>
      <c r="F648" s="127" t="inlineStr">
        <is>
          <t>American Economic Review; Econometrica; Quarterly Journal of Economics; Review of Economic Studies</t>
        </is>
      </c>
    </row>
    <row r="649" ht="37.5" customHeight="1" s="91">
      <c r="A649" s="128" t="n">
        <v>23</v>
      </c>
      <c r="B649" s="128" t="inlineStr">
        <is>
          <t>Indiana Kelley</t>
        </is>
      </c>
      <c r="C649" s="128" t="inlineStr">
        <is>
          <t>Business Economics &amp; Public Policy</t>
        </is>
      </c>
      <c r="D649" s="128" t="inlineStr">
        <is>
          <t>Industrial Organization</t>
        </is>
      </c>
      <c r="E649" s="128" t="n">
        <v>1</v>
      </c>
      <c r="F649" s="128" t="inlineStr">
        <is>
          <t>American Economic Review; Econometrica; Quarterly Journal of Economics; Review of Economic Studies</t>
        </is>
      </c>
    </row>
    <row r="650" ht="37.5" customHeight="1" s="91">
      <c r="A650" s="127" t="n">
        <v>23</v>
      </c>
      <c r="B650" s="127" t="inlineStr">
        <is>
          <t>Indiana Kelley</t>
        </is>
      </c>
      <c r="C650" s="127" t="inlineStr">
        <is>
          <t>Business Law &amp; Ethics</t>
        </is>
      </c>
      <c r="D650" s="127" t="inlineStr">
        <is>
          <t>Theory</t>
        </is>
      </c>
      <c r="E650" s="127" t="n">
        <v>2</v>
      </c>
      <c r="F650" s="127" t="inlineStr">
        <is>
          <t>Management Science; Academy of Management Journal; Journal of Business Research; Strategic Management Journal</t>
        </is>
      </c>
    </row>
    <row r="651" ht="37.5" customHeight="1" s="91">
      <c r="A651" s="128" t="n">
        <v>23</v>
      </c>
      <c r="B651" s="128" t="inlineStr">
        <is>
          <t>Indiana Kelley</t>
        </is>
      </c>
      <c r="C651" s="128" t="inlineStr">
        <is>
          <t>Business Law &amp; Ethics</t>
        </is>
      </c>
      <c r="D651" s="128" t="inlineStr">
        <is>
          <t>Empirical Research</t>
        </is>
      </c>
      <c r="E651" s="128" t="n">
        <v>2</v>
      </c>
      <c r="F651" s="128" t="inlineStr">
        <is>
          <t>Management Science; Academy of Management Journal; Journal of Business Research; Strategic Management Journal</t>
        </is>
      </c>
    </row>
    <row r="652" ht="37.5" customHeight="1" s="91">
      <c r="A652" s="127" t="n">
        <v>23</v>
      </c>
      <c r="B652" s="127" t="inlineStr">
        <is>
          <t>Indiana Kelley</t>
        </is>
      </c>
      <c r="C652" s="127" t="inlineStr">
        <is>
          <t>Business Law &amp; Ethics</t>
        </is>
      </c>
      <c r="D652" s="127" t="inlineStr">
        <is>
          <t>Applied Research</t>
        </is>
      </c>
      <c r="E652" s="127" t="n">
        <v>2</v>
      </c>
      <c r="F652" s="127" t="inlineStr">
        <is>
          <t>Management Science; Academy of Management Journal; Journal of Business Research; Strategic Management Journal</t>
        </is>
      </c>
    </row>
    <row r="653" ht="37.5" customHeight="1" s="91">
      <c r="A653" s="128" t="n">
        <v>23</v>
      </c>
      <c r="B653" s="128" t="inlineStr">
        <is>
          <t>Indiana Kelley</t>
        </is>
      </c>
      <c r="C653" s="128" t="inlineStr">
        <is>
          <t>Business Law &amp; Ethics</t>
        </is>
      </c>
      <c r="D653" s="128" t="inlineStr">
        <is>
          <t>Policy</t>
        </is>
      </c>
      <c r="E653" s="128" t="n">
        <v>1</v>
      </c>
      <c r="F653" s="128" t="inlineStr">
        <is>
          <t>Management Science; Academy of Management Journal; Journal of Business Research; Strategic Management Journal</t>
        </is>
      </c>
    </row>
    <row r="654" ht="37.5" customHeight="1" s="91">
      <c r="A654" s="127" t="n">
        <v>23</v>
      </c>
      <c r="B654" s="127" t="inlineStr">
        <is>
          <t>Indiana Kelley</t>
        </is>
      </c>
      <c r="C654" s="127" t="inlineStr">
        <is>
          <t>Finance</t>
        </is>
      </c>
      <c r="D654" s="127" t="inlineStr">
        <is>
          <t>Corporate Finance</t>
        </is>
      </c>
      <c r="E654" s="127" t="n">
        <v>2</v>
      </c>
      <c r="F654" s="127" t="inlineStr">
        <is>
          <t>Journal of Finance; Review of Financial Studies; Journal of Financial Economics; Journal of Financial &amp; Quantitative Analysis</t>
        </is>
      </c>
    </row>
    <row r="655" ht="37.5" customHeight="1" s="91">
      <c r="A655" s="128" t="n">
        <v>23</v>
      </c>
      <c r="B655" s="128" t="inlineStr">
        <is>
          <t>Indiana Kelley</t>
        </is>
      </c>
      <c r="C655" s="128" t="inlineStr">
        <is>
          <t>Finance</t>
        </is>
      </c>
      <c r="D655" s="128" t="inlineStr">
        <is>
          <t>Asset Pricing</t>
        </is>
      </c>
      <c r="E655" s="128" t="n">
        <v>2</v>
      </c>
      <c r="F655" s="128" t="inlineStr">
        <is>
          <t>Journal of Finance; Review of Financial Studies; Journal of Financial Economics; Journal of Financial &amp; Quantitative Analysis</t>
        </is>
      </c>
    </row>
    <row r="656" ht="37.5" customHeight="1" s="91">
      <c r="A656" s="127" t="n">
        <v>23</v>
      </c>
      <c r="B656" s="127" t="inlineStr">
        <is>
          <t>Indiana Kelley</t>
        </is>
      </c>
      <c r="C656" s="127" t="inlineStr">
        <is>
          <t>Finance</t>
        </is>
      </c>
      <c r="D656" s="127" t="inlineStr">
        <is>
          <t>Banking &amp; Financial Institutions</t>
        </is>
      </c>
      <c r="E656" s="127" t="n">
        <v>2</v>
      </c>
      <c r="F656" s="127" t="inlineStr">
        <is>
          <t>Journal of Finance; Review of Financial Studies; Journal of Financial Economics; Journal of Financial &amp; Quantitative Analysis</t>
        </is>
      </c>
    </row>
    <row r="657" ht="37.5" customHeight="1" s="91">
      <c r="A657" s="128" t="n">
        <v>23</v>
      </c>
      <c r="B657" s="128" t="inlineStr">
        <is>
          <t>Indiana Kelley</t>
        </is>
      </c>
      <c r="C657" s="128" t="inlineStr">
        <is>
          <t>Finance</t>
        </is>
      </c>
      <c r="D657" s="128" t="inlineStr">
        <is>
          <t>International Finance</t>
        </is>
      </c>
      <c r="E657" s="128" t="n">
        <v>2</v>
      </c>
      <c r="F657" s="128" t="inlineStr">
        <is>
          <t>Journal of Finance; Review of Financial Studies; Journal of Financial Economics; Journal of Financial &amp; Quantitative Analysis</t>
        </is>
      </c>
    </row>
    <row r="658" ht="37.5" customHeight="1" s="91">
      <c r="A658" s="127" t="n">
        <v>23</v>
      </c>
      <c r="B658" s="127" t="inlineStr">
        <is>
          <t>Indiana Kelley</t>
        </is>
      </c>
      <c r="C658" s="127" t="inlineStr">
        <is>
          <t>Management &amp; Entrepreneurship</t>
        </is>
      </c>
      <c r="D658" s="127" t="inlineStr">
        <is>
          <t>Strategic Management</t>
        </is>
      </c>
      <c r="E658" s="127" t="n">
        <v>2</v>
      </c>
      <c r="F658" s="127" t="inlineStr">
        <is>
          <t>Academy of Management Review; Academy of Management Journal; Administrative Science Quarterly; Strategic Management Journal</t>
        </is>
      </c>
    </row>
    <row r="659" ht="37.5" customHeight="1" s="91">
      <c r="A659" s="128" t="n">
        <v>23</v>
      </c>
      <c r="B659" s="128" t="inlineStr">
        <is>
          <t>Indiana Kelley</t>
        </is>
      </c>
      <c r="C659" s="128" t="inlineStr">
        <is>
          <t>Management &amp; Entrepreneurship</t>
        </is>
      </c>
      <c r="D659" s="128" t="inlineStr">
        <is>
          <t>Organizational Theory</t>
        </is>
      </c>
      <c r="E659" s="128" t="n">
        <v>2</v>
      </c>
      <c r="F659" s="128" t="inlineStr">
        <is>
          <t>Academy of Management Review; Academy of Management Journal; Administrative Science Quarterly; Strategic Management Journal</t>
        </is>
      </c>
    </row>
    <row r="660" ht="37.5" customHeight="1" s="91">
      <c r="A660" s="127" t="n">
        <v>23</v>
      </c>
      <c r="B660" s="127" t="inlineStr">
        <is>
          <t>Indiana Kelley</t>
        </is>
      </c>
      <c r="C660" s="127" t="inlineStr">
        <is>
          <t>Management &amp; Entrepreneurship</t>
        </is>
      </c>
      <c r="D660" s="127" t="inlineStr">
        <is>
          <t>Leadership</t>
        </is>
      </c>
      <c r="E660" s="127" t="n">
        <v>2</v>
      </c>
      <c r="F660" s="127" t="inlineStr">
        <is>
          <t>Academy of Management Review; Academy of Management Journal; Administrative Science Quarterly; Strategic Management Journal</t>
        </is>
      </c>
    </row>
    <row r="661" ht="37.5" customHeight="1" s="91">
      <c r="A661" s="128" t="n">
        <v>23</v>
      </c>
      <c r="B661" s="128" t="inlineStr">
        <is>
          <t>Indiana Kelley</t>
        </is>
      </c>
      <c r="C661" s="128" t="inlineStr">
        <is>
          <t>Management &amp; Entrepreneurship</t>
        </is>
      </c>
      <c r="D661" s="128" t="inlineStr">
        <is>
          <t>Entrepreneurship</t>
        </is>
      </c>
      <c r="E661" s="128" t="n">
        <v>1</v>
      </c>
      <c r="F661" s="128" t="inlineStr">
        <is>
          <t>Academy of Management Review; Academy of Management Journal; Administrative Science Quarterly; Strategic Management Journal</t>
        </is>
      </c>
    </row>
    <row r="662" ht="37.5" customHeight="1" s="91">
      <c r="A662" s="127" t="n">
        <v>23</v>
      </c>
      <c r="B662" s="127" t="inlineStr">
        <is>
          <t>Indiana Kelley</t>
        </is>
      </c>
      <c r="C662" s="127" t="inlineStr">
        <is>
          <t>Marketing</t>
        </is>
      </c>
      <c r="D662" s="127" t="inlineStr">
        <is>
          <t>Consumer Behavior</t>
        </is>
      </c>
      <c r="E662" s="127" t="n">
        <v>2</v>
      </c>
      <c r="F662" s="127" t="inlineStr">
        <is>
          <t>Journal of Marketing Research; Journal of Marketing; Marketing Science; Journal of Consumer Research</t>
        </is>
      </c>
    </row>
    <row r="663" ht="37.5" customHeight="1" s="91">
      <c r="A663" s="128" t="n">
        <v>23</v>
      </c>
      <c r="B663" s="128" t="inlineStr">
        <is>
          <t>Indiana Kelley</t>
        </is>
      </c>
      <c r="C663" s="128" t="inlineStr">
        <is>
          <t>Marketing</t>
        </is>
      </c>
      <c r="D663" s="128" t="inlineStr">
        <is>
          <t>Marketing Analytics</t>
        </is>
      </c>
      <c r="E663" s="128" t="n">
        <v>2</v>
      </c>
      <c r="F663" s="128" t="inlineStr">
        <is>
          <t>Journal of Marketing Research; Journal of Marketing; Marketing Science; Journal of Consumer Research</t>
        </is>
      </c>
    </row>
    <row r="664" ht="37.5" customHeight="1" s="91">
      <c r="A664" s="127" t="n">
        <v>23</v>
      </c>
      <c r="B664" s="127" t="inlineStr">
        <is>
          <t>Indiana Kelley</t>
        </is>
      </c>
      <c r="C664" s="127" t="inlineStr">
        <is>
          <t>Marketing</t>
        </is>
      </c>
      <c r="D664" s="127" t="inlineStr">
        <is>
          <t>Digital Marketing</t>
        </is>
      </c>
      <c r="E664" s="127" t="n">
        <v>2</v>
      </c>
      <c r="F664" s="127" t="inlineStr">
        <is>
          <t>Journal of Marketing Research; Journal of Marketing; Marketing Science; Journal of Consumer Research</t>
        </is>
      </c>
    </row>
    <row r="665" ht="37.5" customHeight="1" s="91">
      <c r="A665" s="128" t="n">
        <v>23</v>
      </c>
      <c r="B665" s="128" t="inlineStr">
        <is>
          <t>Indiana Kelley</t>
        </is>
      </c>
      <c r="C665" s="128" t="inlineStr">
        <is>
          <t>Marketing</t>
        </is>
      </c>
      <c r="D665" s="128" t="inlineStr">
        <is>
          <t>Brand Management</t>
        </is>
      </c>
      <c r="E665" s="128" t="n">
        <v>1</v>
      </c>
      <c r="F665" s="128" t="inlineStr">
        <is>
          <t>Journal of Marketing Research; Journal of Marketing; Marketing Science; Journal of Consumer Research</t>
        </is>
      </c>
    </row>
    <row r="666" ht="37.5" customHeight="1" s="91">
      <c r="A666" s="127" t="n">
        <v>23</v>
      </c>
      <c r="B666" s="127" t="inlineStr">
        <is>
          <t>Indiana Kelley</t>
        </is>
      </c>
      <c r="C666" s="127" t="inlineStr">
        <is>
          <t>Operations &amp; Decision Technologies</t>
        </is>
      </c>
      <c r="D666" s="127" t="inlineStr">
        <is>
          <t>Supply Chain Management</t>
        </is>
      </c>
      <c r="E666" s="127" t="n">
        <v>2</v>
      </c>
      <c r="F666" s="127" t="inlineStr">
        <is>
          <t>Management Science; Operations Research; Manufacturing &amp; Service Operations Management; Production &amp; Operations Management</t>
        </is>
      </c>
    </row>
    <row r="667" ht="37.5" customHeight="1" s="91">
      <c r="A667" s="128" t="n">
        <v>23</v>
      </c>
      <c r="B667" s="128" t="inlineStr">
        <is>
          <t>Indiana Kelley</t>
        </is>
      </c>
      <c r="C667" s="128" t="inlineStr">
        <is>
          <t>Operations &amp; Decision Technologies</t>
        </is>
      </c>
      <c r="D667" s="128" t="inlineStr">
        <is>
          <t>Operations Research</t>
        </is>
      </c>
      <c r="E667" s="128" t="n">
        <v>1</v>
      </c>
      <c r="F667" s="128" t="inlineStr">
        <is>
          <t>Management Science; Operations Research; Manufacturing &amp; Service Operations Management; Production &amp; Operations Management</t>
        </is>
      </c>
    </row>
    <row r="668" ht="37.5" customHeight="1" s="91">
      <c r="A668" s="127" t="n">
        <v>23</v>
      </c>
      <c r="B668" s="127" t="inlineStr">
        <is>
          <t>Indiana Kelley</t>
        </is>
      </c>
      <c r="C668" s="127" t="inlineStr">
        <is>
          <t>Operations &amp; Decision Technologies</t>
        </is>
      </c>
      <c r="D668" s="127" t="inlineStr">
        <is>
          <t>Process Optimization</t>
        </is>
      </c>
      <c r="E668" s="127" t="n">
        <v>1</v>
      </c>
      <c r="F668" s="127" t="inlineStr">
        <is>
          <t>Management Science; Operations Research; Manufacturing &amp; Service Operations Management; Production &amp; Operations Management</t>
        </is>
      </c>
    </row>
    <row r="669" ht="37.5" customHeight="1" s="91">
      <c r="A669" s="128" t="n">
        <v>23</v>
      </c>
      <c r="B669" s="128" t="inlineStr">
        <is>
          <t>Indiana Kelley</t>
        </is>
      </c>
      <c r="C669" s="128" t="inlineStr">
        <is>
          <t>Operations &amp; Decision Technologies</t>
        </is>
      </c>
      <c r="D669" s="128" t="inlineStr">
        <is>
          <t>Analytics</t>
        </is>
      </c>
      <c r="E669" s="128" t="n">
        <v>1</v>
      </c>
      <c r="F669" s="128" t="inlineStr">
        <is>
          <t>Management Science; Operations Research; Manufacturing &amp; Service Operations Management; Production &amp; Operations Management</t>
        </is>
      </c>
    </row>
    <row r="670" ht="37.5" customHeight="1" s="91">
      <c r="A670" s="127" t="n">
        <v>24</v>
      </c>
      <c r="B670" s="127" t="inlineStr">
        <is>
          <t>UNC Kenan-Flagler</t>
        </is>
      </c>
      <c r="C670" s="127" t="inlineStr">
        <is>
          <t>Accounting</t>
        </is>
      </c>
      <c r="D670" s="127" t="inlineStr">
        <is>
          <t>Financial Accounting</t>
        </is>
      </c>
      <c r="E670" s="127" t="n">
        <v>2</v>
      </c>
      <c r="F670" s="127" t="inlineStr">
        <is>
          <t>The Accounting Review; Journal of Accounting Research; Journal of Accounting &amp; Economics; Review of Accounting Studies</t>
        </is>
      </c>
    </row>
    <row r="671" ht="37.5" customHeight="1" s="91">
      <c r="A671" s="128" t="n">
        <v>24</v>
      </c>
      <c r="B671" s="128" t="inlineStr">
        <is>
          <t>UNC Kenan-Flagler</t>
        </is>
      </c>
      <c r="C671" s="128" t="inlineStr">
        <is>
          <t>Accounting</t>
        </is>
      </c>
      <c r="D671" s="128" t="inlineStr">
        <is>
          <t>Managerial Accounting</t>
        </is>
      </c>
      <c r="E671" s="128" t="n">
        <v>2</v>
      </c>
      <c r="F671" s="128" t="inlineStr">
        <is>
          <t>The Accounting Review; Journal of Accounting Research; Journal of Accounting &amp; Economics; Review of Accounting Studies</t>
        </is>
      </c>
    </row>
    <row r="672" ht="37.5" customHeight="1" s="91">
      <c r="A672" s="127" t="n">
        <v>24</v>
      </c>
      <c r="B672" s="127" t="inlineStr">
        <is>
          <t>UNC Kenan-Flagler</t>
        </is>
      </c>
      <c r="C672" s="127" t="inlineStr">
        <is>
          <t>Accounting</t>
        </is>
      </c>
      <c r="D672" s="127" t="inlineStr">
        <is>
          <t>Auditing &amp; Assurance</t>
        </is>
      </c>
      <c r="E672" s="127" t="n">
        <v>1</v>
      </c>
      <c r="F672" s="127" t="inlineStr">
        <is>
          <t>The Accounting Review; Journal of Accounting Research; Journal of Accounting &amp; Economics; Review of Accounting Studies</t>
        </is>
      </c>
    </row>
    <row r="673" ht="37.5" customHeight="1" s="91">
      <c r="A673" s="128" t="n">
        <v>24</v>
      </c>
      <c r="B673" s="128" t="inlineStr">
        <is>
          <t>UNC Kenan-Flagler</t>
        </is>
      </c>
      <c r="C673" s="128" t="inlineStr">
        <is>
          <t>Accounting</t>
        </is>
      </c>
      <c r="D673" s="128" t="inlineStr">
        <is>
          <t>Tax</t>
        </is>
      </c>
      <c r="E673" s="128" t="n">
        <v>1</v>
      </c>
      <c r="F673" s="128" t="inlineStr">
        <is>
          <t>The Accounting Review; Journal of Accounting Research; Journal of Accounting &amp; Economics; Review of Accounting Studies</t>
        </is>
      </c>
    </row>
    <row r="674" ht="37.5" customHeight="1" s="91">
      <c r="A674" s="127" t="n">
        <v>24</v>
      </c>
      <c r="B674" s="127" t="inlineStr">
        <is>
          <t>UNC Kenan-Flagler</t>
        </is>
      </c>
      <c r="C674" s="127" t="inlineStr">
        <is>
          <t>Finance</t>
        </is>
      </c>
      <c r="D674" s="127" t="inlineStr">
        <is>
          <t>Corporate Finance</t>
        </is>
      </c>
      <c r="E674" s="127" t="n">
        <v>2</v>
      </c>
      <c r="F674" s="127" t="inlineStr">
        <is>
          <t>Journal of Finance; Review of Financial Studies; Journal of Financial Economics; Journal of Financial &amp; Quantitative Analysis</t>
        </is>
      </c>
    </row>
    <row r="675" ht="37.5" customHeight="1" s="91">
      <c r="A675" s="128" t="n">
        <v>24</v>
      </c>
      <c r="B675" s="128" t="inlineStr">
        <is>
          <t>UNC Kenan-Flagler</t>
        </is>
      </c>
      <c r="C675" s="128" t="inlineStr">
        <is>
          <t>Finance</t>
        </is>
      </c>
      <c r="D675" s="128" t="inlineStr">
        <is>
          <t>Asset Pricing</t>
        </is>
      </c>
      <c r="E675" s="128" t="n">
        <v>2</v>
      </c>
      <c r="F675" s="128" t="inlineStr">
        <is>
          <t>Journal of Finance; Review of Financial Studies; Journal of Financial Economics; Journal of Financial &amp; Quantitative Analysis</t>
        </is>
      </c>
    </row>
    <row r="676" ht="37.5" customHeight="1" s="91">
      <c r="A676" s="127" t="n">
        <v>24</v>
      </c>
      <c r="B676" s="127" t="inlineStr">
        <is>
          <t>UNC Kenan-Flagler</t>
        </is>
      </c>
      <c r="C676" s="127" t="inlineStr">
        <is>
          <t>Finance</t>
        </is>
      </c>
      <c r="D676" s="127" t="inlineStr">
        <is>
          <t>Banking &amp; Financial Institutions</t>
        </is>
      </c>
      <c r="E676" s="127" t="n">
        <v>2</v>
      </c>
      <c r="F676" s="127" t="inlineStr">
        <is>
          <t>Journal of Finance; Review of Financial Studies; Journal of Financial Economics; Journal of Financial &amp; Quantitative Analysis</t>
        </is>
      </c>
    </row>
    <row r="677" ht="37.5" customHeight="1" s="91">
      <c r="A677" s="128" t="n">
        <v>24</v>
      </c>
      <c r="B677" s="128" t="inlineStr">
        <is>
          <t>UNC Kenan-Flagler</t>
        </is>
      </c>
      <c r="C677" s="128" t="inlineStr">
        <is>
          <t>Finance</t>
        </is>
      </c>
      <c r="D677" s="128" t="inlineStr">
        <is>
          <t>International Finance</t>
        </is>
      </c>
      <c r="E677" s="128" t="n">
        <v>2</v>
      </c>
      <c r="F677" s="128" t="inlineStr">
        <is>
          <t>Journal of Finance; Review of Financial Studies; Journal of Financial Economics; Journal of Financial &amp; Quantitative Analysis</t>
        </is>
      </c>
    </row>
    <row r="678" ht="37.5" customHeight="1" s="91">
      <c r="A678" s="127" t="n">
        <v>24</v>
      </c>
      <c r="B678" s="127" t="inlineStr">
        <is>
          <t>UNC Kenan-Flagler</t>
        </is>
      </c>
      <c r="C678" s="127" t="inlineStr">
        <is>
          <t>Marketing</t>
        </is>
      </c>
      <c r="D678" s="127" t="inlineStr">
        <is>
          <t>Consumer Behavior</t>
        </is>
      </c>
      <c r="E678" s="127" t="n">
        <v>2</v>
      </c>
      <c r="F678" s="127" t="inlineStr">
        <is>
          <t>Journal of Marketing Research; Journal of Marketing; Marketing Science; Journal of Consumer Research</t>
        </is>
      </c>
    </row>
    <row r="679" ht="37.5" customHeight="1" s="91">
      <c r="A679" s="128" t="n">
        <v>24</v>
      </c>
      <c r="B679" s="128" t="inlineStr">
        <is>
          <t>UNC Kenan-Flagler</t>
        </is>
      </c>
      <c r="C679" s="128" t="inlineStr">
        <is>
          <t>Marketing</t>
        </is>
      </c>
      <c r="D679" s="128" t="inlineStr">
        <is>
          <t>Marketing Analytics</t>
        </is>
      </c>
      <c r="E679" s="128" t="n">
        <v>2</v>
      </c>
      <c r="F679" s="128" t="inlineStr">
        <is>
          <t>Journal of Marketing Research; Journal of Marketing; Marketing Science; Journal of Consumer Research</t>
        </is>
      </c>
    </row>
    <row r="680" ht="37.5" customHeight="1" s="91">
      <c r="A680" s="127" t="n">
        <v>24</v>
      </c>
      <c r="B680" s="127" t="inlineStr">
        <is>
          <t>UNC Kenan-Flagler</t>
        </is>
      </c>
      <c r="C680" s="127" t="inlineStr">
        <is>
          <t>Marketing</t>
        </is>
      </c>
      <c r="D680" s="127" t="inlineStr">
        <is>
          <t>Digital Marketing</t>
        </is>
      </c>
      <c r="E680" s="127" t="n">
        <v>2</v>
      </c>
      <c r="F680" s="127" t="inlineStr">
        <is>
          <t>Journal of Marketing Research; Journal of Marketing; Marketing Science; Journal of Consumer Research</t>
        </is>
      </c>
    </row>
    <row r="681" ht="37.5" customHeight="1" s="91">
      <c r="A681" s="128" t="n">
        <v>24</v>
      </c>
      <c r="B681" s="128" t="inlineStr">
        <is>
          <t>UNC Kenan-Flagler</t>
        </is>
      </c>
      <c r="C681" s="128" t="inlineStr">
        <is>
          <t>Marketing</t>
        </is>
      </c>
      <c r="D681" s="128" t="inlineStr">
        <is>
          <t>Brand Management</t>
        </is>
      </c>
      <c r="E681" s="128" t="n">
        <v>1</v>
      </c>
      <c r="F681" s="128" t="inlineStr">
        <is>
          <t>Journal of Marketing Research; Journal of Marketing; Marketing Science; Journal of Consumer Research</t>
        </is>
      </c>
    </row>
    <row r="682" ht="37.5" customHeight="1" s="91">
      <c r="A682" s="127" t="n">
        <v>24</v>
      </c>
      <c r="B682" s="127" t="inlineStr">
        <is>
          <t>UNC Kenan-Flagler</t>
        </is>
      </c>
      <c r="C682" s="127" t="inlineStr">
        <is>
          <t>Management &amp; Corporate Communication</t>
        </is>
      </c>
      <c r="D682" s="127" t="inlineStr">
        <is>
          <t>Strategic Management</t>
        </is>
      </c>
      <c r="E682" s="127" t="n">
        <v>2</v>
      </c>
      <c r="F682" s="127" t="inlineStr">
        <is>
          <t>Academy of Management Review; Academy of Management Journal; Administrative Science Quarterly; Strategic Management Journal</t>
        </is>
      </c>
    </row>
    <row r="683" ht="37.5" customHeight="1" s="91">
      <c r="A683" s="128" t="n">
        <v>24</v>
      </c>
      <c r="B683" s="128" t="inlineStr">
        <is>
          <t>UNC Kenan-Flagler</t>
        </is>
      </c>
      <c r="C683" s="128" t="inlineStr">
        <is>
          <t>Management &amp; Corporate Communication</t>
        </is>
      </c>
      <c r="D683" s="128" t="inlineStr">
        <is>
          <t>Organizational Theory</t>
        </is>
      </c>
      <c r="E683" s="128" t="n">
        <v>2</v>
      </c>
      <c r="F683" s="128" t="inlineStr">
        <is>
          <t>Academy of Management Review; Academy of Management Journal; Administrative Science Quarterly; Strategic Management Journal</t>
        </is>
      </c>
    </row>
    <row r="684" ht="37.5" customHeight="1" s="91">
      <c r="A684" s="127" t="n">
        <v>24</v>
      </c>
      <c r="B684" s="127" t="inlineStr">
        <is>
          <t>UNC Kenan-Flagler</t>
        </is>
      </c>
      <c r="C684" s="127" t="inlineStr">
        <is>
          <t>Management &amp; Corporate Communication</t>
        </is>
      </c>
      <c r="D684" s="127" t="inlineStr">
        <is>
          <t>Leadership</t>
        </is>
      </c>
      <c r="E684" s="127" t="n">
        <v>2</v>
      </c>
      <c r="F684" s="127" t="inlineStr">
        <is>
          <t>Academy of Management Review; Academy of Management Journal; Administrative Science Quarterly; Strategic Management Journal</t>
        </is>
      </c>
    </row>
    <row r="685" ht="37.5" customHeight="1" s="91">
      <c r="A685" s="128" t="n">
        <v>24</v>
      </c>
      <c r="B685" s="128" t="inlineStr">
        <is>
          <t>UNC Kenan-Flagler</t>
        </is>
      </c>
      <c r="C685" s="128" t="inlineStr">
        <is>
          <t>Management &amp; Corporate Communication</t>
        </is>
      </c>
      <c r="D685" s="128" t="inlineStr">
        <is>
          <t>Entrepreneurship</t>
        </is>
      </c>
      <c r="E685" s="128" t="n">
        <v>1</v>
      </c>
      <c r="F685" s="128" t="inlineStr">
        <is>
          <t>Academy of Management Review; Academy of Management Journal; Administrative Science Quarterly; Strategic Management Journal</t>
        </is>
      </c>
    </row>
    <row r="686" ht="37.5" customHeight="1" s="91">
      <c r="A686" s="127" t="n">
        <v>24</v>
      </c>
      <c r="B686" s="127" t="inlineStr">
        <is>
          <t>UNC Kenan-Flagler</t>
        </is>
      </c>
      <c r="C686" s="127" t="inlineStr">
        <is>
          <t>Operations</t>
        </is>
      </c>
      <c r="D686" s="127" t="inlineStr">
        <is>
          <t>Supply Chain Management</t>
        </is>
      </c>
      <c r="E686" s="127" t="n">
        <v>2</v>
      </c>
      <c r="F686" s="127" t="inlineStr">
        <is>
          <t>Management Science; Operations Research; Manufacturing &amp; Service Operations Management; Production &amp; Operations Management</t>
        </is>
      </c>
    </row>
    <row r="687" ht="37.5" customHeight="1" s="91">
      <c r="A687" s="128" t="n">
        <v>24</v>
      </c>
      <c r="B687" s="128" t="inlineStr">
        <is>
          <t>UNC Kenan-Flagler</t>
        </is>
      </c>
      <c r="C687" s="128" t="inlineStr">
        <is>
          <t>Operations</t>
        </is>
      </c>
      <c r="D687" s="128" t="inlineStr">
        <is>
          <t>Operations Research</t>
        </is>
      </c>
      <c r="E687" s="128" t="n">
        <v>1</v>
      </c>
      <c r="F687" s="128" t="inlineStr">
        <is>
          <t>Management Science; Operations Research; Manufacturing &amp; Service Operations Management; Production &amp; Operations Management</t>
        </is>
      </c>
    </row>
    <row r="688" ht="37.5" customHeight="1" s="91">
      <c r="A688" s="127" t="n">
        <v>24</v>
      </c>
      <c r="B688" s="127" t="inlineStr">
        <is>
          <t>UNC Kenan-Flagler</t>
        </is>
      </c>
      <c r="C688" s="127" t="inlineStr">
        <is>
          <t>Operations</t>
        </is>
      </c>
      <c r="D688" s="127" t="inlineStr">
        <is>
          <t>Process Optimization</t>
        </is>
      </c>
      <c r="E688" s="127" t="n">
        <v>1</v>
      </c>
      <c r="F688" s="127" t="inlineStr">
        <is>
          <t>Management Science; Operations Research; Manufacturing &amp; Service Operations Management; Production &amp; Operations Management</t>
        </is>
      </c>
    </row>
    <row r="689" ht="37.5" customHeight="1" s="91">
      <c r="A689" s="128" t="n">
        <v>24</v>
      </c>
      <c r="B689" s="128" t="inlineStr">
        <is>
          <t>UNC Kenan-Flagler</t>
        </is>
      </c>
      <c r="C689" s="128" t="inlineStr">
        <is>
          <t>Operations</t>
        </is>
      </c>
      <c r="D689" s="128" t="inlineStr">
        <is>
          <t>Analytics</t>
        </is>
      </c>
      <c r="E689" s="128" t="n">
        <v>1</v>
      </c>
      <c r="F689" s="128" t="inlineStr">
        <is>
          <t>Management Science; Operations Research; Manufacturing &amp; Service Operations Management; Production &amp; Operations Management</t>
        </is>
      </c>
    </row>
    <row r="690" ht="37.5" customHeight="1" s="91">
      <c r="A690" s="127" t="n">
        <v>24</v>
      </c>
      <c r="B690" s="127" t="inlineStr">
        <is>
          <t>UNC Kenan-Flagler</t>
        </is>
      </c>
      <c r="C690" s="127" t="inlineStr">
        <is>
          <t>Organizational Behavior</t>
        </is>
      </c>
      <c r="D690" s="127" t="inlineStr">
        <is>
          <t>Organizational Behavior</t>
        </is>
      </c>
      <c r="E690" s="127" t="n">
        <v>2</v>
      </c>
      <c r="F690" s="127" t="inlineStr">
        <is>
          <t>Academy of Management Journal; Organization Science; Administrative Science Quarterly; Journal of Applied Psychology</t>
        </is>
      </c>
    </row>
    <row r="691" ht="37.5" customHeight="1" s="91">
      <c r="A691" s="128" t="n">
        <v>24</v>
      </c>
      <c r="B691" s="128" t="inlineStr">
        <is>
          <t>UNC Kenan-Flagler</t>
        </is>
      </c>
      <c r="C691" s="128" t="inlineStr">
        <is>
          <t>Organizational Behavior</t>
        </is>
      </c>
      <c r="D691" s="128" t="inlineStr">
        <is>
          <t>Human Resources</t>
        </is>
      </c>
      <c r="E691" s="128" t="n">
        <v>2</v>
      </c>
      <c r="F691" s="128" t="inlineStr">
        <is>
          <t>Academy of Management Journal; Organization Science; Administrative Science Quarterly; Journal of Applied Psychology</t>
        </is>
      </c>
    </row>
    <row r="692" ht="37.5" customHeight="1" s="91">
      <c r="A692" s="127" t="n">
        <v>24</v>
      </c>
      <c r="B692" s="127" t="inlineStr">
        <is>
          <t>UNC Kenan-Flagler</t>
        </is>
      </c>
      <c r="C692" s="127" t="inlineStr">
        <is>
          <t>Organizational Behavior</t>
        </is>
      </c>
      <c r="D692" s="127" t="inlineStr">
        <is>
          <t>Leadership &amp; Teams</t>
        </is>
      </c>
      <c r="E692" s="127" t="n">
        <v>1</v>
      </c>
      <c r="F692" s="127" t="inlineStr">
        <is>
          <t>Academy of Management Journal; Organization Science; Administrative Science Quarterly; Journal of Applied Psychology</t>
        </is>
      </c>
    </row>
    <row r="693" ht="37.5" customHeight="1" s="91">
      <c r="A693" s="128" t="n">
        <v>24</v>
      </c>
      <c r="B693" s="128" t="inlineStr">
        <is>
          <t>UNC Kenan-Flagler</t>
        </is>
      </c>
      <c r="C693" s="128" t="inlineStr">
        <is>
          <t>Organizational Behavior</t>
        </is>
      </c>
      <c r="D693" s="128" t="inlineStr">
        <is>
          <t>Diversity &amp; Inclusion</t>
        </is>
      </c>
      <c r="E693" s="128" t="n">
        <v>1</v>
      </c>
      <c r="F693" s="128" t="inlineStr">
        <is>
          <t>Academy of Management Journal; Organization Science; Administrative Science Quarterly; Journal of Applied Psychology</t>
        </is>
      </c>
    </row>
    <row r="694" ht="37.5" customHeight="1" s="91">
      <c r="A694" s="127" t="n">
        <v>24</v>
      </c>
      <c r="B694" s="127" t="inlineStr">
        <is>
          <t>UNC Kenan-Flagler</t>
        </is>
      </c>
      <c r="C694" s="127" t="inlineStr">
        <is>
          <t>Strategy &amp; Entrepreneurship</t>
        </is>
      </c>
      <c r="D694" s="127" t="inlineStr">
        <is>
          <t>Competitive Strategy</t>
        </is>
      </c>
      <c r="E694" s="127" t="n">
        <v>2</v>
      </c>
      <c r="F694" s="127" t="inlineStr">
        <is>
          <t>Strategic Management Journal; Academy of Management Review; Organization Science; Journal of Economics &amp; Management Strategy</t>
        </is>
      </c>
    </row>
    <row r="695" ht="37.5" customHeight="1" s="91">
      <c r="A695" s="128" t="n">
        <v>24</v>
      </c>
      <c r="B695" s="128" t="inlineStr">
        <is>
          <t>UNC Kenan-Flagler</t>
        </is>
      </c>
      <c r="C695" s="128" t="inlineStr">
        <is>
          <t>Strategy &amp; Entrepreneurship</t>
        </is>
      </c>
      <c r="D695" s="128" t="inlineStr">
        <is>
          <t>Corporate Strategy</t>
        </is>
      </c>
      <c r="E695" s="128" t="n">
        <v>2</v>
      </c>
      <c r="F695" s="128" t="inlineStr">
        <is>
          <t>Strategic Management Journal; Academy of Management Review; Organization Science; Journal of Economics &amp; Management Strategy</t>
        </is>
      </c>
    </row>
    <row r="696" ht="37.5" customHeight="1" s="91">
      <c r="A696" s="127" t="n">
        <v>24</v>
      </c>
      <c r="B696" s="127" t="inlineStr">
        <is>
          <t>UNC Kenan-Flagler</t>
        </is>
      </c>
      <c r="C696" s="127" t="inlineStr">
        <is>
          <t>Strategy &amp; Entrepreneurship</t>
        </is>
      </c>
      <c r="D696" s="127" t="inlineStr">
        <is>
          <t>Innovation</t>
        </is>
      </c>
      <c r="E696" s="127" t="n">
        <v>2</v>
      </c>
      <c r="F696" s="127" t="inlineStr">
        <is>
          <t>Strategic Management Journal; Academy of Management Review; Organization Science; Journal of Economics &amp; Management Strategy</t>
        </is>
      </c>
    </row>
    <row r="697" ht="37.5" customHeight="1" s="91">
      <c r="A697" s="128" t="n">
        <v>24</v>
      </c>
      <c r="B697" s="128" t="inlineStr">
        <is>
          <t>UNC Kenan-Flagler</t>
        </is>
      </c>
      <c r="C697" s="128" t="inlineStr">
        <is>
          <t>Strategy &amp; Entrepreneurship</t>
        </is>
      </c>
      <c r="D697" s="128" t="inlineStr">
        <is>
          <t>Strategic Management</t>
        </is>
      </c>
      <c r="E697" s="128" t="n">
        <v>1</v>
      </c>
      <c r="F697" s="128" t="inlineStr">
        <is>
          <t>Strategic Management Journal; Academy of Management Review; Organization Science; Journal of Economics &amp; Management Strategy</t>
        </is>
      </c>
    </row>
    <row r="698" ht="37.5" customHeight="1" s="91">
      <c r="A698" s="127" t="n">
        <v>25</v>
      </c>
      <c r="B698" s="127" t="inlineStr">
        <is>
          <t>Notre Dame Mendoza</t>
        </is>
      </c>
      <c r="C698" s="127" t="inlineStr">
        <is>
          <t>Accountancy</t>
        </is>
      </c>
      <c r="D698" s="127" t="inlineStr">
        <is>
          <t>Financial Accounting</t>
        </is>
      </c>
      <c r="E698" s="127" t="n">
        <v>3</v>
      </c>
      <c r="F698" s="127" t="inlineStr">
        <is>
          <t>The Accounting Review; Journal of Accounting Research; Journal of Accounting &amp; Economics; Review of Accounting Studies</t>
        </is>
      </c>
    </row>
    <row r="699" ht="37.5" customHeight="1" s="91">
      <c r="A699" s="128" t="n">
        <v>25</v>
      </c>
      <c r="B699" s="128" t="inlineStr">
        <is>
          <t>Notre Dame Mendoza</t>
        </is>
      </c>
      <c r="C699" s="128" t="inlineStr">
        <is>
          <t>Accountancy</t>
        </is>
      </c>
      <c r="D699" s="128" t="inlineStr">
        <is>
          <t>Managerial Accounting</t>
        </is>
      </c>
      <c r="E699" s="128" t="n">
        <v>3</v>
      </c>
      <c r="F699" s="128" t="inlineStr">
        <is>
          <t>The Accounting Review; Journal of Accounting Research; Journal of Accounting &amp; Economics; Review of Accounting Studies</t>
        </is>
      </c>
    </row>
    <row r="700" ht="37.5" customHeight="1" s="91">
      <c r="A700" s="127" t="n">
        <v>25</v>
      </c>
      <c r="B700" s="127" t="inlineStr">
        <is>
          <t>Notre Dame Mendoza</t>
        </is>
      </c>
      <c r="C700" s="127" t="inlineStr">
        <is>
          <t>Accountancy</t>
        </is>
      </c>
      <c r="D700" s="127" t="inlineStr">
        <is>
          <t>Auditing &amp; Assurance</t>
        </is>
      </c>
      <c r="E700" s="127" t="n">
        <v>3</v>
      </c>
      <c r="F700" s="127" t="inlineStr">
        <is>
          <t>The Accounting Review; Journal of Accounting Research; Journal of Accounting &amp; Economics; Review of Accounting Studies</t>
        </is>
      </c>
    </row>
    <row r="701" ht="37.5" customHeight="1" s="91">
      <c r="A701" s="128" t="n">
        <v>25</v>
      </c>
      <c r="B701" s="128" t="inlineStr">
        <is>
          <t>Notre Dame Mendoza</t>
        </is>
      </c>
      <c r="C701" s="128" t="inlineStr">
        <is>
          <t>Accountancy</t>
        </is>
      </c>
      <c r="D701" s="128" t="inlineStr">
        <is>
          <t>Tax</t>
        </is>
      </c>
      <c r="E701" s="128" t="n">
        <v>2</v>
      </c>
      <c r="F701" s="128" t="inlineStr">
        <is>
          <t>The Accounting Review; Journal of Accounting Research; Journal of Accounting &amp; Economics; Review of Accounting Studies</t>
        </is>
      </c>
    </row>
    <row r="702" ht="37.5" customHeight="1" s="91">
      <c r="A702" s="127" t="n">
        <v>25</v>
      </c>
      <c r="B702" s="127" t="inlineStr">
        <is>
          <t>Notre Dame Mendoza</t>
        </is>
      </c>
      <c r="C702" s="127" t="inlineStr">
        <is>
          <t>Finance</t>
        </is>
      </c>
      <c r="D702" s="127" t="inlineStr">
        <is>
          <t>Corporate Finance</t>
        </is>
      </c>
      <c r="E702" s="127" t="n">
        <v>4</v>
      </c>
      <c r="F702" s="127" t="inlineStr">
        <is>
          <t>Journal of Finance; Review of Financial Studies; Journal of Financial Economics; Journal of Financial &amp; Quantitative Analysis</t>
        </is>
      </c>
    </row>
    <row r="703" ht="37.5" customHeight="1" s="91">
      <c r="A703" s="128" t="n">
        <v>25</v>
      </c>
      <c r="B703" s="128" t="inlineStr">
        <is>
          <t>Notre Dame Mendoza</t>
        </is>
      </c>
      <c r="C703" s="128" t="inlineStr">
        <is>
          <t>Finance</t>
        </is>
      </c>
      <c r="D703" s="128" t="inlineStr">
        <is>
          <t>Asset Pricing</t>
        </is>
      </c>
      <c r="E703" s="128" t="n">
        <v>4</v>
      </c>
      <c r="F703" s="128" t="inlineStr">
        <is>
          <t>Journal of Finance; Review of Financial Studies; Journal of Financial Economics; Journal of Financial &amp; Quantitative Analysis</t>
        </is>
      </c>
    </row>
    <row r="704" ht="37.5" customHeight="1" s="91">
      <c r="A704" s="127" t="n">
        <v>25</v>
      </c>
      <c r="B704" s="127" t="inlineStr">
        <is>
          <t>Notre Dame Mendoza</t>
        </is>
      </c>
      <c r="C704" s="127" t="inlineStr">
        <is>
          <t>Finance</t>
        </is>
      </c>
      <c r="D704" s="127" t="inlineStr">
        <is>
          <t>Banking &amp; Financial Institutions</t>
        </is>
      </c>
      <c r="E704" s="127" t="n">
        <v>3</v>
      </c>
      <c r="F704" s="127" t="inlineStr">
        <is>
          <t>Journal of Finance; Review of Financial Studies; Journal of Financial Economics; Journal of Financial &amp; Quantitative Analysis</t>
        </is>
      </c>
    </row>
    <row r="705" ht="37.5" customHeight="1" s="91">
      <c r="A705" s="128" t="n">
        <v>25</v>
      </c>
      <c r="B705" s="128" t="inlineStr">
        <is>
          <t>Notre Dame Mendoza</t>
        </is>
      </c>
      <c r="C705" s="128" t="inlineStr">
        <is>
          <t>Finance</t>
        </is>
      </c>
      <c r="D705" s="128" t="inlineStr">
        <is>
          <t>International Finance</t>
        </is>
      </c>
      <c r="E705" s="128" t="n">
        <v>3</v>
      </c>
      <c r="F705" s="128" t="inlineStr">
        <is>
          <t>Journal of Finance; Review of Financial Studies; Journal of Financial Economics; Journal of Financial &amp; Quantitative Analysis</t>
        </is>
      </c>
    </row>
    <row r="706" ht="37.5" customHeight="1" s="91">
      <c r="A706" s="127" t="n">
        <v>25</v>
      </c>
      <c r="B706" s="127" t="inlineStr">
        <is>
          <t>Notre Dame Mendoza</t>
        </is>
      </c>
      <c r="C706" s="127" t="inlineStr">
        <is>
          <t>IT Analytics &amp; Operations</t>
        </is>
      </c>
      <c r="D706" s="127" t="inlineStr">
        <is>
          <t>Supply Chain Management</t>
        </is>
      </c>
      <c r="E706" s="127" t="n">
        <v>3</v>
      </c>
      <c r="F706" s="127" t="inlineStr">
        <is>
          <t>Management Science; Operations Research; Manufacturing &amp; Service Operations Management; Production &amp; Operations Management</t>
        </is>
      </c>
    </row>
    <row r="707" ht="37.5" customHeight="1" s="91">
      <c r="A707" s="128" t="n">
        <v>25</v>
      </c>
      <c r="B707" s="128" t="inlineStr">
        <is>
          <t>Notre Dame Mendoza</t>
        </is>
      </c>
      <c r="C707" s="128" t="inlineStr">
        <is>
          <t>IT Analytics &amp; Operations</t>
        </is>
      </c>
      <c r="D707" s="128" t="inlineStr">
        <is>
          <t>Operations Research</t>
        </is>
      </c>
      <c r="E707" s="128" t="n">
        <v>3</v>
      </c>
      <c r="F707" s="128" t="inlineStr">
        <is>
          <t>Management Science; Operations Research; Manufacturing &amp; Service Operations Management; Production &amp; Operations Management</t>
        </is>
      </c>
    </row>
    <row r="708" ht="37.5" customHeight="1" s="91">
      <c r="A708" s="127" t="n">
        <v>25</v>
      </c>
      <c r="B708" s="127" t="inlineStr">
        <is>
          <t>Notre Dame Mendoza</t>
        </is>
      </c>
      <c r="C708" s="127" t="inlineStr">
        <is>
          <t>IT Analytics &amp; Operations</t>
        </is>
      </c>
      <c r="D708" s="127" t="inlineStr">
        <is>
          <t>Process Optimization</t>
        </is>
      </c>
      <c r="E708" s="127" t="n">
        <v>2</v>
      </c>
      <c r="F708" s="127" t="inlineStr">
        <is>
          <t>Management Science; Operations Research; Manufacturing &amp; Service Operations Management; Production &amp; Operations Management</t>
        </is>
      </c>
    </row>
    <row r="709" ht="37.5" customHeight="1" s="91">
      <c r="A709" s="128" t="n">
        <v>25</v>
      </c>
      <c r="B709" s="128" t="inlineStr">
        <is>
          <t>Notre Dame Mendoza</t>
        </is>
      </c>
      <c r="C709" s="128" t="inlineStr">
        <is>
          <t>IT Analytics &amp; Operations</t>
        </is>
      </c>
      <c r="D709" s="128" t="inlineStr">
        <is>
          <t>Analytics</t>
        </is>
      </c>
      <c r="E709" s="128" t="n">
        <v>2</v>
      </c>
      <c r="F709" s="128" t="inlineStr">
        <is>
          <t>Management Science; Operations Research; Manufacturing &amp; Service Operations Management; Production &amp; Operations Management</t>
        </is>
      </c>
    </row>
    <row r="710" ht="37.5" customHeight="1" s="91">
      <c r="A710" s="127" t="n">
        <v>25</v>
      </c>
      <c r="B710" s="127" t="inlineStr">
        <is>
          <t>Notre Dame Mendoza</t>
        </is>
      </c>
      <c r="C710" s="127" t="inlineStr">
        <is>
          <t>Management &amp; Organization</t>
        </is>
      </c>
      <c r="D710" s="127" t="inlineStr">
        <is>
          <t>Organizational Behavior</t>
        </is>
      </c>
      <c r="E710" s="127" t="n">
        <v>3</v>
      </c>
      <c r="F710" s="127" t="inlineStr">
        <is>
          <t>Academy of Management Journal; Organization Science; Administrative Science Quarterly; Journal of Applied Psychology</t>
        </is>
      </c>
    </row>
    <row r="711" ht="37.5" customHeight="1" s="91">
      <c r="A711" s="128" t="n">
        <v>25</v>
      </c>
      <c r="B711" s="128" t="inlineStr">
        <is>
          <t>Notre Dame Mendoza</t>
        </is>
      </c>
      <c r="C711" s="128" t="inlineStr">
        <is>
          <t>Management &amp; Organization</t>
        </is>
      </c>
      <c r="D711" s="128" t="inlineStr">
        <is>
          <t>Human Resources</t>
        </is>
      </c>
      <c r="E711" s="128" t="n">
        <v>3</v>
      </c>
      <c r="F711" s="128" t="inlineStr">
        <is>
          <t>Academy of Management Journal; Organization Science; Administrative Science Quarterly; Journal of Applied Psychology</t>
        </is>
      </c>
    </row>
    <row r="712" ht="37.5" customHeight="1" s="91">
      <c r="A712" s="127" t="n">
        <v>25</v>
      </c>
      <c r="B712" s="127" t="inlineStr">
        <is>
          <t>Notre Dame Mendoza</t>
        </is>
      </c>
      <c r="C712" s="127" t="inlineStr">
        <is>
          <t>Management &amp; Organization</t>
        </is>
      </c>
      <c r="D712" s="127" t="inlineStr">
        <is>
          <t>Leadership &amp; Teams</t>
        </is>
      </c>
      <c r="E712" s="127" t="n">
        <v>3</v>
      </c>
      <c r="F712" s="127" t="inlineStr">
        <is>
          <t>Academy of Management Journal; Organization Science; Administrative Science Quarterly; Journal of Applied Psychology</t>
        </is>
      </c>
    </row>
    <row r="713" ht="37.5" customHeight="1" s="91">
      <c r="A713" s="128" t="n">
        <v>25</v>
      </c>
      <c r="B713" s="128" t="inlineStr">
        <is>
          <t>Notre Dame Mendoza</t>
        </is>
      </c>
      <c r="C713" s="128" t="inlineStr">
        <is>
          <t>Management &amp; Organization</t>
        </is>
      </c>
      <c r="D713" s="128" t="inlineStr">
        <is>
          <t>Diversity &amp; Inclusion</t>
        </is>
      </c>
      <c r="E713" s="128" t="n">
        <v>3</v>
      </c>
      <c r="F713" s="128" t="inlineStr">
        <is>
          <t>Academy of Management Journal; Organization Science; Administrative Science Quarterly; Journal of Applied Psychology</t>
        </is>
      </c>
    </row>
    <row r="714" ht="37.5" customHeight="1" s="91">
      <c r="A714" s="127" t="n">
        <v>25</v>
      </c>
      <c r="B714" s="127" t="inlineStr">
        <is>
          <t>Notre Dame Mendoza</t>
        </is>
      </c>
      <c r="C714" s="127" t="inlineStr">
        <is>
          <t>Marketing</t>
        </is>
      </c>
      <c r="D714" s="127" t="inlineStr">
        <is>
          <t>Consumer Behavior</t>
        </is>
      </c>
      <c r="E714" s="127" t="n">
        <v>3</v>
      </c>
      <c r="F714" s="127" t="inlineStr">
        <is>
          <t>Journal of Marketing Research; Journal of Marketing; Marketing Science; Journal of Consumer Research</t>
        </is>
      </c>
    </row>
    <row r="715" ht="37.5" customHeight="1" s="91">
      <c r="A715" s="128" t="n">
        <v>25</v>
      </c>
      <c r="B715" s="128" t="inlineStr">
        <is>
          <t>Notre Dame Mendoza</t>
        </is>
      </c>
      <c r="C715" s="128" t="inlineStr">
        <is>
          <t>Marketing</t>
        </is>
      </c>
      <c r="D715" s="128" t="inlineStr">
        <is>
          <t>Marketing Analytics</t>
        </is>
      </c>
      <c r="E715" s="128" t="n">
        <v>3</v>
      </c>
      <c r="F715" s="128" t="inlineStr">
        <is>
          <t>Journal of Marketing Research; Journal of Marketing; Marketing Science; Journal of Consumer Research</t>
        </is>
      </c>
    </row>
    <row r="716" ht="37.5" customHeight="1" s="91">
      <c r="A716" s="127" t="n">
        <v>25</v>
      </c>
      <c r="B716" s="127" t="inlineStr">
        <is>
          <t>Notre Dame Mendoza</t>
        </is>
      </c>
      <c r="C716" s="127" t="inlineStr">
        <is>
          <t>Marketing</t>
        </is>
      </c>
      <c r="D716" s="127" t="inlineStr">
        <is>
          <t>Digital Marketing</t>
        </is>
      </c>
      <c r="E716" s="127" t="n">
        <v>3</v>
      </c>
      <c r="F716" s="127" t="inlineStr">
        <is>
          <t>Journal of Marketing Research; Journal of Marketing; Marketing Science; Journal of Consumer Research</t>
        </is>
      </c>
    </row>
    <row r="717" ht="37.5" customHeight="1" s="91">
      <c r="A717" s="128" t="n">
        <v>25</v>
      </c>
      <c r="B717" s="128" t="inlineStr">
        <is>
          <t>Notre Dame Mendoza</t>
        </is>
      </c>
      <c r="C717" s="128" t="inlineStr">
        <is>
          <t>Marketing</t>
        </is>
      </c>
      <c r="D717" s="128" t="inlineStr">
        <is>
          <t>Brand Management</t>
        </is>
      </c>
      <c r="E717" s="128" t="n">
        <v>3</v>
      </c>
      <c r="F717" s="128" t="inlineStr">
        <is>
          <t>Journal of Marketing Research; Journal of Marketing; Marketing Science; Journal of Consumer Research</t>
        </is>
      </c>
    </row>
    <row r="718" ht="37.5" customHeight="1" s="91">
      <c r="A718" s="127" t="n">
        <v>26</v>
      </c>
      <c r="B718" s="127" t="inlineStr">
        <is>
          <t>USC Marshall</t>
        </is>
      </c>
      <c r="C718" s="127" t="inlineStr">
        <is>
          <t>Accounting (Leventhal)</t>
        </is>
      </c>
      <c r="D718" s="127" t="inlineStr">
        <is>
          <t>Financial Accounting</t>
        </is>
      </c>
      <c r="E718" s="127" t="n">
        <v>3</v>
      </c>
      <c r="F718" s="127" t="inlineStr">
        <is>
          <t>The Accounting Review; Journal of Accounting Research; Journal of Accounting &amp; Economics; Review of Accounting Studies</t>
        </is>
      </c>
    </row>
    <row r="719" ht="37.5" customHeight="1" s="91">
      <c r="A719" s="128" t="n">
        <v>26</v>
      </c>
      <c r="B719" s="128" t="inlineStr">
        <is>
          <t>USC Marshall</t>
        </is>
      </c>
      <c r="C719" s="128" t="inlineStr">
        <is>
          <t>Accounting (Leventhal)</t>
        </is>
      </c>
      <c r="D719" s="128" t="inlineStr">
        <is>
          <t>Managerial Accounting</t>
        </is>
      </c>
      <c r="E719" s="128" t="n">
        <v>3</v>
      </c>
      <c r="F719" s="128" t="inlineStr">
        <is>
          <t>The Accounting Review; Journal of Accounting Research; Journal of Accounting &amp; Economics; Review of Accounting Studies</t>
        </is>
      </c>
    </row>
    <row r="720" ht="37.5" customHeight="1" s="91">
      <c r="A720" s="127" t="n">
        <v>26</v>
      </c>
      <c r="B720" s="127" t="inlineStr">
        <is>
          <t>USC Marshall</t>
        </is>
      </c>
      <c r="C720" s="127" t="inlineStr">
        <is>
          <t>Accounting (Leventhal)</t>
        </is>
      </c>
      <c r="D720" s="127" t="inlineStr">
        <is>
          <t>Auditing &amp; Assurance</t>
        </is>
      </c>
      <c r="E720" s="127" t="n">
        <v>3</v>
      </c>
      <c r="F720" s="127" t="inlineStr">
        <is>
          <t>The Accounting Review; Journal of Accounting Research; Journal of Accounting &amp; Economics; Review of Accounting Studies</t>
        </is>
      </c>
    </row>
    <row r="721" ht="37.5" customHeight="1" s="91">
      <c r="A721" s="128" t="n">
        <v>26</v>
      </c>
      <c r="B721" s="128" t="inlineStr">
        <is>
          <t>USC Marshall</t>
        </is>
      </c>
      <c r="C721" s="128" t="inlineStr">
        <is>
          <t>Accounting (Leventhal)</t>
        </is>
      </c>
      <c r="D721" s="128" t="inlineStr">
        <is>
          <t>Tax</t>
        </is>
      </c>
      <c r="E721" s="128" t="n">
        <v>3</v>
      </c>
      <c r="F721" s="128" t="inlineStr">
        <is>
          <t>The Accounting Review; Journal of Accounting Research; Journal of Accounting &amp; Economics; Review of Accounting Studies</t>
        </is>
      </c>
    </row>
    <row r="722" ht="37.5" customHeight="1" s="91">
      <c r="A722" s="127" t="n">
        <v>26</v>
      </c>
      <c r="B722" s="127" t="inlineStr">
        <is>
          <t>USC Marshall</t>
        </is>
      </c>
      <c r="C722" s="127" t="inlineStr">
        <is>
          <t>Data Science &amp; Operations</t>
        </is>
      </c>
      <c r="D722" s="127" t="inlineStr">
        <is>
          <t>Supply Chain Management</t>
        </is>
      </c>
      <c r="E722" s="127" t="n">
        <v>3</v>
      </c>
      <c r="F722" s="127" t="inlineStr">
        <is>
          <t>Management Science; Operations Research; Manufacturing &amp; Service Operations Management; Production &amp; Operations Management</t>
        </is>
      </c>
    </row>
    <row r="723" ht="37.5" customHeight="1" s="91">
      <c r="A723" s="128" t="n">
        <v>26</v>
      </c>
      <c r="B723" s="128" t="inlineStr">
        <is>
          <t>USC Marshall</t>
        </is>
      </c>
      <c r="C723" s="128" t="inlineStr">
        <is>
          <t>Data Science &amp; Operations</t>
        </is>
      </c>
      <c r="D723" s="128" t="inlineStr">
        <is>
          <t>Operations Research</t>
        </is>
      </c>
      <c r="E723" s="128" t="n">
        <v>3</v>
      </c>
      <c r="F723" s="128" t="inlineStr">
        <is>
          <t>Management Science; Operations Research; Manufacturing &amp; Service Operations Management; Production &amp; Operations Management</t>
        </is>
      </c>
    </row>
    <row r="724" ht="37.5" customHeight="1" s="91">
      <c r="A724" s="127" t="n">
        <v>26</v>
      </c>
      <c r="B724" s="127" t="inlineStr">
        <is>
          <t>USC Marshall</t>
        </is>
      </c>
      <c r="C724" s="127" t="inlineStr">
        <is>
          <t>Data Science &amp; Operations</t>
        </is>
      </c>
      <c r="D724" s="127" t="inlineStr">
        <is>
          <t>Process Optimization</t>
        </is>
      </c>
      <c r="E724" s="127" t="n">
        <v>3</v>
      </c>
      <c r="F724" s="127" t="inlineStr">
        <is>
          <t>Management Science; Operations Research; Manufacturing &amp; Service Operations Management; Production &amp; Operations Management</t>
        </is>
      </c>
    </row>
    <row r="725" ht="37.5" customHeight="1" s="91">
      <c r="A725" s="128" t="n">
        <v>26</v>
      </c>
      <c r="B725" s="128" t="inlineStr">
        <is>
          <t>USC Marshall</t>
        </is>
      </c>
      <c r="C725" s="128" t="inlineStr">
        <is>
          <t>Data Science &amp; Operations</t>
        </is>
      </c>
      <c r="D725" s="128" t="inlineStr">
        <is>
          <t>Analytics</t>
        </is>
      </c>
      <c r="E725" s="128" t="n">
        <v>2</v>
      </c>
      <c r="F725" s="128" t="inlineStr">
        <is>
          <t>Management Science; Operations Research; Manufacturing &amp; Service Operations Management; Production &amp; Operations Management</t>
        </is>
      </c>
    </row>
    <row r="726" ht="37.5" customHeight="1" s="91">
      <c r="A726" s="127" t="n">
        <v>26</v>
      </c>
      <c r="B726" s="127" t="inlineStr">
        <is>
          <t>USC Marshall</t>
        </is>
      </c>
      <c r="C726" s="127" t="inlineStr">
        <is>
          <t>Finance &amp; Business Economics</t>
        </is>
      </c>
      <c r="D726" s="127" t="inlineStr">
        <is>
          <t>Corporate Finance</t>
        </is>
      </c>
      <c r="E726" s="127" t="n">
        <v>4</v>
      </c>
      <c r="F726" s="127" t="inlineStr">
        <is>
          <t>Journal of Finance; Review of Financial Studies; Journal of Financial Economics; Journal of Financial &amp; Quantitative Analysis</t>
        </is>
      </c>
    </row>
    <row r="727" ht="37.5" customHeight="1" s="91">
      <c r="A727" s="128" t="n">
        <v>26</v>
      </c>
      <c r="B727" s="128" t="inlineStr">
        <is>
          <t>USC Marshall</t>
        </is>
      </c>
      <c r="C727" s="128" t="inlineStr">
        <is>
          <t>Finance &amp; Business Economics</t>
        </is>
      </c>
      <c r="D727" s="128" t="inlineStr">
        <is>
          <t>Asset Pricing</t>
        </is>
      </c>
      <c r="E727" s="128" t="n">
        <v>4</v>
      </c>
      <c r="F727" s="128" t="inlineStr">
        <is>
          <t>Journal of Finance; Review of Financial Studies; Journal of Financial Economics; Journal of Financial &amp; Quantitative Analysis</t>
        </is>
      </c>
    </row>
    <row r="728" ht="37.5" customHeight="1" s="91">
      <c r="A728" s="127" t="n">
        <v>26</v>
      </c>
      <c r="B728" s="127" t="inlineStr">
        <is>
          <t>USC Marshall</t>
        </is>
      </c>
      <c r="C728" s="127" t="inlineStr">
        <is>
          <t>Finance &amp; Business Economics</t>
        </is>
      </c>
      <c r="D728" s="127" t="inlineStr">
        <is>
          <t>Banking &amp; Financial Institutions</t>
        </is>
      </c>
      <c r="E728" s="127" t="n">
        <v>4</v>
      </c>
      <c r="F728" s="127" t="inlineStr">
        <is>
          <t>Journal of Finance; Review of Financial Studies; Journal of Financial Economics; Journal of Financial &amp; Quantitative Analysis</t>
        </is>
      </c>
    </row>
    <row r="729" ht="37.5" customHeight="1" s="91">
      <c r="A729" s="128" t="n">
        <v>26</v>
      </c>
      <c r="B729" s="128" t="inlineStr">
        <is>
          <t>USC Marshall</t>
        </is>
      </c>
      <c r="C729" s="128" t="inlineStr">
        <is>
          <t>Finance &amp; Business Economics</t>
        </is>
      </c>
      <c r="D729" s="128" t="inlineStr">
        <is>
          <t>International Finance</t>
        </is>
      </c>
      <c r="E729" s="128" t="n">
        <v>3</v>
      </c>
      <c r="F729" s="128" t="inlineStr">
        <is>
          <t>Journal of Finance; Review of Financial Studies; Journal of Financial Economics; Journal of Financial &amp; Quantitative Analysis</t>
        </is>
      </c>
    </row>
    <row r="730" ht="37.5" customHeight="1" s="91">
      <c r="A730" s="127" t="n">
        <v>26</v>
      </c>
      <c r="B730" s="127" t="inlineStr">
        <is>
          <t>USC Marshall</t>
        </is>
      </c>
      <c r="C730" s="127" t="inlineStr">
        <is>
          <t>Management &amp; Organization</t>
        </is>
      </c>
      <c r="D730" s="127" t="inlineStr">
        <is>
          <t>Organizational Behavior</t>
        </is>
      </c>
      <c r="E730" s="127" t="n">
        <v>3</v>
      </c>
      <c r="F730" s="127" t="inlineStr">
        <is>
          <t>Academy of Management Journal; Organization Science; Administrative Science Quarterly; Journal of Applied Psychology</t>
        </is>
      </c>
    </row>
    <row r="731" ht="37.5" customHeight="1" s="91">
      <c r="A731" s="128" t="n">
        <v>26</v>
      </c>
      <c r="B731" s="128" t="inlineStr">
        <is>
          <t>USC Marshall</t>
        </is>
      </c>
      <c r="C731" s="128" t="inlineStr">
        <is>
          <t>Management &amp; Organization</t>
        </is>
      </c>
      <c r="D731" s="128" t="inlineStr">
        <is>
          <t>Human Resources</t>
        </is>
      </c>
      <c r="E731" s="128" t="n">
        <v>3</v>
      </c>
      <c r="F731" s="128" t="inlineStr">
        <is>
          <t>Academy of Management Journal; Organization Science; Administrative Science Quarterly; Journal of Applied Psychology</t>
        </is>
      </c>
    </row>
    <row r="732" ht="37.5" customHeight="1" s="91">
      <c r="A732" s="127" t="n">
        <v>26</v>
      </c>
      <c r="B732" s="127" t="inlineStr">
        <is>
          <t>USC Marshall</t>
        </is>
      </c>
      <c r="C732" s="127" t="inlineStr">
        <is>
          <t>Management &amp; Organization</t>
        </is>
      </c>
      <c r="D732" s="127" t="inlineStr">
        <is>
          <t>Leadership &amp; Teams</t>
        </is>
      </c>
      <c r="E732" s="127" t="n">
        <v>3</v>
      </c>
      <c r="F732" s="127" t="inlineStr">
        <is>
          <t>Academy of Management Journal; Organization Science; Administrative Science Quarterly; Journal of Applied Psychology</t>
        </is>
      </c>
    </row>
    <row r="733" ht="37.5" customHeight="1" s="91">
      <c r="A733" s="128" t="n">
        <v>26</v>
      </c>
      <c r="B733" s="128" t="inlineStr">
        <is>
          <t>USC Marshall</t>
        </is>
      </c>
      <c r="C733" s="128" t="inlineStr">
        <is>
          <t>Management &amp; Organization</t>
        </is>
      </c>
      <c r="D733" s="128" t="inlineStr">
        <is>
          <t>Diversity &amp; Inclusion</t>
        </is>
      </c>
      <c r="E733" s="128" t="n">
        <v>3</v>
      </c>
      <c r="F733" s="128" t="inlineStr">
        <is>
          <t>Academy of Management Journal; Organization Science; Administrative Science Quarterly; Journal of Applied Psychology</t>
        </is>
      </c>
    </row>
    <row r="734" ht="37.5" customHeight="1" s="91">
      <c r="A734" s="127" t="n">
        <v>26</v>
      </c>
      <c r="B734" s="127" t="inlineStr">
        <is>
          <t>USC Marshall</t>
        </is>
      </c>
      <c r="C734" s="127" t="inlineStr">
        <is>
          <t>Marketing</t>
        </is>
      </c>
      <c r="D734" s="127" t="inlineStr">
        <is>
          <t>Consumer Behavior</t>
        </is>
      </c>
      <c r="E734" s="127" t="n">
        <v>4</v>
      </c>
      <c r="F734" s="127" t="inlineStr">
        <is>
          <t>Journal of Marketing Research; Journal of Marketing; Marketing Science; Journal of Consumer Research</t>
        </is>
      </c>
    </row>
    <row r="735" ht="37.5" customHeight="1" s="91">
      <c r="A735" s="128" t="n">
        <v>26</v>
      </c>
      <c r="B735" s="128" t="inlineStr">
        <is>
          <t>USC Marshall</t>
        </is>
      </c>
      <c r="C735" s="128" t="inlineStr">
        <is>
          <t>Marketing</t>
        </is>
      </c>
      <c r="D735" s="128" t="inlineStr">
        <is>
          <t>Marketing Analytics</t>
        </is>
      </c>
      <c r="E735" s="128" t="n">
        <v>3</v>
      </c>
      <c r="F735" s="128" t="inlineStr">
        <is>
          <t>Journal of Marketing Research; Journal of Marketing; Marketing Science; Journal of Consumer Research</t>
        </is>
      </c>
    </row>
    <row r="736" ht="37.5" customHeight="1" s="91">
      <c r="A736" s="127" t="n">
        <v>26</v>
      </c>
      <c r="B736" s="127" t="inlineStr">
        <is>
          <t>USC Marshall</t>
        </is>
      </c>
      <c r="C736" s="127" t="inlineStr">
        <is>
          <t>Marketing</t>
        </is>
      </c>
      <c r="D736" s="127" t="inlineStr">
        <is>
          <t>Digital Marketing</t>
        </is>
      </c>
      <c r="E736" s="127" t="n">
        <v>3</v>
      </c>
      <c r="F736" s="127" t="inlineStr">
        <is>
          <t>Journal of Marketing Research; Journal of Marketing; Marketing Science; Journal of Consumer Research</t>
        </is>
      </c>
    </row>
    <row r="737" ht="37.5" customHeight="1" s="91">
      <c r="A737" s="128" t="n">
        <v>26</v>
      </c>
      <c r="B737" s="128" t="inlineStr">
        <is>
          <t>USC Marshall</t>
        </is>
      </c>
      <c r="C737" s="128" t="inlineStr">
        <is>
          <t>Marketing</t>
        </is>
      </c>
      <c r="D737" s="128" t="inlineStr">
        <is>
          <t>Brand Management</t>
        </is>
      </c>
      <c r="E737" s="128" t="n">
        <v>3</v>
      </c>
      <c r="F737" s="128" t="inlineStr">
        <is>
          <t>Journal of Marketing Research; Journal of Marketing; Marketing Science; Journal of Consumer Research</t>
        </is>
      </c>
    </row>
    <row r="738" ht="37.5" customHeight="1" s="91">
      <c r="A738" s="127" t="n">
        <v>27</v>
      </c>
      <c r="B738" s="127" t="inlineStr">
        <is>
          <t>Rice Jones</t>
        </is>
      </c>
      <c r="C738" s="127" t="inlineStr">
        <is>
          <t>Accounting</t>
        </is>
      </c>
      <c r="D738" s="127" t="inlineStr">
        <is>
          <t>Financial Accounting</t>
        </is>
      </c>
      <c r="E738" s="127" t="n">
        <v>2</v>
      </c>
      <c r="F738" s="127" t="inlineStr">
        <is>
          <t>The Accounting Review; Journal of Accounting Research; Journal of Accounting &amp; Economics; Review of Accounting Studies</t>
        </is>
      </c>
    </row>
    <row r="739" ht="37.5" customHeight="1" s="91">
      <c r="A739" s="128" t="n">
        <v>27</v>
      </c>
      <c r="B739" s="128" t="inlineStr">
        <is>
          <t>Rice Jones</t>
        </is>
      </c>
      <c r="C739" s="128" t="inlineStr">
        <is>
          <t>Accounting</t>
        </is>
      </c>
      <c r="D739" s="128" t="inlineStr">
        <is>
          <t>Managerial Accounting</t>
        </is>
      </c>
      <c r="E739" s="128" t="n">
        <v>2</v>
      </c>
      <c r="F739" s="128" t="inlineStr">
        <is>
          <t>The Accounting Review; Journal of Accounting Research; Journal of Accounting &amp; Economics; Review of Accounting Studies</t>
        </is>
      </c>
    </row>
    <row r="740" ht="37.5" customHeight="1" s="91">
      <c r="A740" s="127" t="n">
        <v>27</v>
      </c>
      <c r="B740" s="127" t="inlineStr">
        <is>
          <t>Rice Jones</t>
        </is>
      </c>
      <c r="C740" s="127" t="inlineStr">
        <is>
          <t>Accounting</t>
        </is>
      </c>
      <c r="D740" s="127" t="inlineStr">
        <is>
          <t>Auditing &amp; Assurance</t>
        </is>
      </c>
      <c r="E740" s="127" t="n">
        <v>1</v>
      </c>
      <c r="F740" s="127" t="inlineStr">
        <is>
          <t>The Accounting Review; Journal of Accounting Research; Journal of Accounting &amp; Economics; Review of Accounting Studies</t>
        </is>
      </c>
    </row>
    <row r="741" ht="37.5" customHeight="1" s="91">
      <c r="A741" s="128" t="n">
        <v>27</v>
      </c>
      <c r="B741" s="128" t="inlineStr">
        <is>
          <t>Rice Jones</t>
        </is>
      </c>
      <c r="C741" s="128" t="inlineStr">
        <is>
          <t>Accounting</t>
        </is>
      </c>
      <c r="D741" s="128" t="inlineStr">
        <is>
          <t>Tax</t>
        </is>
      </c>
      <c r="E741" s="128" t="n">
        <v>1</v>
      </c>
      <c r="F741" s="128" t="inlineStr">
        <is>
          <t>The Accounting Review; Journal of Accounting Research; Journal of Accounting &amp; Economics; Review of Accounting Studies</t>
        </is>
      </c>
    </row>
    <row r="742" ht="37.5" customHeight="1" s="91">
      <c r="A742" s="127" t="n">
        <v>27</v>
      </c>
      <c r="B742" s="127" t="inlineStr">
        <is>
          <t>Rice Jones</t>
        </is>
      </c>
      <c r="C742" s="127" t="inlineStr">
        <is>
          <t>Finance</t>
        </is>
      </c>
      <c r="D742" s="127" t="inlineStr">
        <is>
          <t>Corporate Finance</t>
        </is>
      </c>
      <c r="E742" s="127" t="n">
        <v>2</v>
      </c>
      <c r="F742" s="127" t="inlineStr">
        <is>
          <t>Journal of Finance; Review of Financial Studies; Journal of Financial Economics; Journal of Financial &amp; Quantitative Analysis</t>
        </is>
      </c>
    </row>
    <row r="743" ht="37.5" customHeight="1" s="91">
      <c r="A743" s="128" t="n">
        <v>27</v>
      </c>
      <c r="B743" s="128" t="inlineStr">
        <is>
          <t>Rice Jones</t>
        </is>
      </c>
      <c r="C743" s="128" t="inlineStr">
        <is>
          <t>Finance</t>
        </is>
      </c>
      <c r="D743" s="128" t="inlineStr">
        <is>
          <t>Asset Pricing</t>
        </is>
      </c>
      <c r="E743" s="128" t="n">
        <v>2</v>
      </c>
      <c r="F743" s="128" t="inlineStr">
        <is>
          <t>Journal of Finance; Review of Financial Studies; Journal of Financial Economics; Journal of Financial &amp; Quantitative Analysis</t>
        </is>
      </c>
    </row>
    <row r="744" ht="37.5" customHeight="1" s="91">
      <c r="A744" s="127" t="n">
        <v>27</v>
      </c>
      <c r="B744" s="127" t="inlineStr">
        <is>
          <t>Rice Jones</t>
        </is>
      </c>
      <c r="C744" s="127" t="inlineStr">
        <is>
          <t>Finance</t>
        </is>
      </c>
      <c r="D744" s="127" t="inlineStr">
        <is>
          <t>Banking &amp; Financial Institutions</t>
        </is>
      </c>
      <c r="E744" s="127" t="n">
        <v>2</v>
      </c>
      <c r="F744" s="127" t="inlineStr">
        <is>
          <t>Journal of Finance; Review of Financial Studies; Journal of Financial Economics; Journal of Financial &amp; Quantitative Analysis</t>
        </is>
      </c>
    </row>
    <row r="745" ht="37.5" customHeight="1" s="91">
      <c r="A745" s="128" t="n">
        <v>27</v>
      </c>
      <c r="B745" s="128" t="inlineStr">
        <is>
          <t>Rice Jones</t>
        </is>
      </c>
      <c r="C745" s="128" t="inlineStr">
        <is>
          <t>Finance</t>
        </is>
      </c>
      <c r="D745" s="128" t="inlineStr">
        <is>
          <t>International Finance</t>
        </is>
      </c>
      <c r="E745" s="128" t="n">
        <v>2</v>
      </c>
      <c r="F745" s="128" t="inlineStr">
        <is>
          <t>Journal of Finance; Review of Financial Studies; Journal of Financial Economics; Journal of Financial &amp; Quantitative Analysis</t>
        </is>
      </c>
    </row>
    <row r="746" ht="37.5" customHeight="1" s="91">
      <c r="A746" s="127" t="n">
        <v>27</v>
      </c>
      <c r="B746" s="127" t="inlineStr">
        <is>
          <t>Rice Jones</t>
        </is>
      </c>
      <c r="C746" s="127" t="inlineStr">
        <is>
          <t>Management</t>
        </is>
      </c>
      <c r="D746" s="127" t="inlineStr">
        <is>
          <t>Strategic Management</t>
        </is>
      </c>
      <c r="E746" s="127" t="n">
        <v>2</v>
      </c>
      <c r="F746" s="127" t="inlineStr">
        <is>
          <t>Academy of Management Review; Academy of Management Journal; Administrative Science Quarterly; Strategic Management Journal</t>
        </is>
      </c>
    </row>
    <row r="747" ht="37.5" customHeight="1" s="91">
      <c r="A747" s="128" t="n">
        <v>27</v>
      </c>
      <c r="B747" s="128" t="inlineStr">
        <is>
          <t>Rice Jones</t>
        </is>
      </c>
      <c r="C747" s="128" t="inlineStr">
        <is>
          <t>Management</t>
        </is>
      </c>
      <c r="D747" s="128" t="inlineStr">
        <is>
          <t>Organizational Theory</t>
        </is>
      </c>
      <c r="E747" s="128" t="n">
        <v>2</v>
      </c>
      <c r="F747" s="128" t="inlineStr">
        <is>
          <t>Academy of Management Review; Academy of Management Journal; Administrative Science Quarterly; Strategic Management Journal</t>
        </is>
      </c>
    </row>
    <row r="748" ht="37.5" customHeight="1" s="91">
      <c r="A748" s="127" t="n">
        <v>27</v>
      </c>
      <c r="B748" s="127" t="inlineStr">
        <is>
          <t>Rice Jones</t>
        </is>
      </c>
      <c r="C748" s="127" t="inlineStr">
        <is>
          <t>Management</t>
        </is>
      </c>
      <c r="D748" s="127" t="inlineStr">
        <is>
          <t>Leadership</t>
        </is>
      </c>
      <c r="E748" s="127" t="n">
        <v>2</v>
      </c>
      <c r="F748" s="127" t="inlineStr">
        <is>
          <t>Academy of Management Review; Academy of Management Journal; Administrative Science Quarterly; Strategic Management Journal</t>
        </is>
      </c>
    </row>
    <row r="749" ht="37.5" customHeight="1" s="91">
      <c r="A749" s="128" t="n">
        <v>27</v>
      </c>
      <c r="B749" s="128" t="inlineStr">
        <is>
          <t>Rice Jones</t>
        </is>
      </c>
      <c r="C749" s="128" t="inlineStr">
        <is>
          <t>Management</t>
        </is>
      </c>
      <c r="D749" s="128" t="inlineStr">
        <is>
          <t>Entrepreneurship</t>
        </is>
      </c>
      <c r="E749" s="128" t="n">
        <v>1</v>
      </c>
      <c r="F749" s="128" t="inlineStr">
        <is>
          <t>Academy of Management Review; Academy of Management Journal; Administrative Science Quarterly; Strategic Management Journal</t>
        </is>
      </c>
    </row>
    <row r="750" ht="37.5" customHeight="1" s="91">
      <c r="A750" s="127" t="n">
        <v>27</v>
      </c>
      <c r="B750" s="127" t="inlineStr">
        <is>
          <t>Rice Jones</t>
        </is>
      </c>
      <c r="C750" s="127" t="inlineStr">
        <is>
          <t>Marketing</t>
        </is>
      </c>
      <c r="D750" s="127" t="inlineStr">
        <is>
          <t>Consumer Behavior</t>
        </is>
      </c>
      <c r="E750" s="127" t="n">
        <v>2</v>
      </c>
      <c r="F750" s="127" t="inlineStr">
        <is>
          <t>Journal of Marketing Research; Journal of Marketing; Marketing Science; Journal of Consumer Research</t>
        </is>
      </c>
    </row>
    <row r="751" ht="37.5" customHeight="1" s="91">
      <c r="A751" s="128" t="n">
        <v>27</v>
      </c>
      <c r="B751" s="128" t="inlineStr">
        <is>
          <t>Rice Jones</t>
        </is>
      </c>
      <c r="C751" s="128" t="inlineStr">
        <is>
          <t>Marketing</t>
        </is>
      </c>
      <c r="D751" s="128" t="inlineStr">
        <is>
          <t>Marketing Analytics</t>
        </is>
      </c>
      <c r="E751" s="128" t="n">
        <v>2</v>
      </c>
      <c r="F751" s="128" t="inlineStr">
        <is>
          <t>Journal of Marketing Research; Journal of Marketing; Marketing Science; Journal of Consumer Research</t>
        </is>
      </c>
    </row>
    <row r="752" ht="37.5" customHeight="1" s="91">
      <c r="A752" s="127" t="n">
        <v>27</v>
      </c>
      <c r="B752" s="127" t="inlineStr">
        <is>
          <t>Rice Jones</t>
        </is>
      </c>
      <c r="C752" s="127" t="inlineStr">
        <is>
          <t>Marketing</t>
        </is>
      </c>
      <c r="D752" s="127" t="inlineStr">
        <is>
          <t>Digital Marketing</t>
        </is>
      </c>
      <c r="E752" s="127" t="n">
        <v>2</v>
      </c>
      <c r="F752" s="127" t="inlineStr">
        <is>
          <t>Journal of Marketing Research; Journal of Marketing; Marketing Science; Journal of Consumer Research</t>
        </is>
      </c>
    </row>
    <row r="753" ht="37.5" customHeight="1" s="91">
      <c r="A753" s="128" t="n">
        <v>27</v>
      </c>
      <c r="B753" s="128" t="inlineStr">
        <is>
          <t>Rice Jones</t>
        </is>
      </c>
      <c r="C753" s="128" t="inlineStr">
        <is>
          <t>Marketing</t>
        </is>
      </c>
      <c r="D753" s="128" t="inlineStr">
        <is>
          <t>Brand Management</t>
        </is>
      </c>
      <c r="E753" s="128" t="n">
        <v>1</v>
      </c>
      <c r="F753" s="128" t="inlineStr">
        <is>
          <t>Journal of Marketing Research; Journal of Marketing; Marketing Science; Journal of Consumer Research</t>
        </is>
      </c>
    </row>
    <row r="754" ht="37.5" customHeight="1" s="91">
      <c r="A754" s="127" t="n">
        <v>27</v>
      </c>
      <c r="B754" s="127" t="inlineStr">
        <is>
          <t>Rice Jones</t>
        </is>
      </c>
      <c r="C754" s="127" t="inlineStr">
        <is>
          <t>Operations Management</t>
        </is>
      </c>
      <c r="D754" s="127" t="inlineStr">
        <is>
          <t>Supply Chain Management</t>
        </is>
      </c>
      <c r="E754" s="127" t="n">
        <v>2</v>
      </c>
      <c r="F754" s="127" t="inlineStr">
        <is>
          <t>Management Science; Operations Research; Manufacturing &amp; Service Operations Management; Production &amp; Operations Management</t>
        </is>
      </c>
    </row>
    <row r="755" ht="37.5" customHeight="1" s="91">
      <c r="A755" s="128" t="n">
        <v>27</v>
      </c>
      <c r="B755" s="128" t="inlineStr">
        <is>
          <t>Rice Jones</t>
        </is>
      </c>
      <c r="C755" s="128" t="inlineStr">
        <is>
          <t>Operations Management</t>
        </is>
      </c>
      <c r="D755" s="128" t="inlineStr">
        <is>
          <t>Operations Research</t>
        </is>
      </c>
      <c r="E755" s="128" t="n">
        <v>2</v>
      </c>
      <c r="F755" s="128" t="inlineStr">
        <is>
          <t>Management Science; Operations Research; Manufacturing &amp; Service Operations Management; Production &amp; Operations Management</t>
        </is>
      </c>
    </row>
    <row r="756" ht="37.5" customHeight="1" s="91">
      <c r="A756" s="127" t="n">
        <v>27</v>
      </c>
      <c r="B756" s="127" t="inlineStr">
        <is>
          <t>Rice Jones</t>
        </is>
      </c>
      <c r="C756" s="127" t="inlineStr">
        <is>
          <t>Operations Management</t>
        </is>
      </c>
      <c r="D756" s="127" t="inlineStr">
        <is>
          <t>Process Optimization</t>
        </is>
      </c>
      <c r="E756" s="127" t="n">
        <v>2</v>
      </c>
      <c r="F756" s="127" t="inlineStr">
        <is>
          <t>Management Science; Operations Research; Manufacturing &amp; Service Operations Management; Production &amp; Operations Management</t>
        </is>
      </c>
    </row>
    <row r="757" ht="37.5" customHeight="1" s="91">
      <c r="A757" s="128" t="n">
        <v>27</v>
      </c>
      <c r="B757" s="128" t="inlineStr">
        <is>
          <t>Rice Jones</t>
        </is>
      </c>
      <c r="C757" s="128" t="inlineStr">
        <is>
          <t>Operations Management</t>
        </is>
      </c>
      <c r="D757" s="128" t="inlineStr">
        <is>
          <t>Analytics</t>
        </is>
      </c>
      <c r="E757" s="128" t="n">
        <v>1</v>
      </c>
      <c r="F757" s="128" t="inlineStr">
        <is>
          <t>Management Science; Operations Research; Manufacturing &amp; Service Operations Management; Production &amp; Operations Management</t>
        </is>
      </c>
    </row>
    <row r="758" ht="37.5" customHeight="1" s="91">
      <c r="A758" s="127" t="n">
        <v>27</v>
      </c>
      <c r="B758" s="127" t="inlineStr">
        <is>
          <t>Rice Jones</t>
        </is>
      </c>
      <c r="C758" s="127" t="inlineStr">
        <is>
          <t>Strategic Management</t>
        </is>
      </c>
      <c r="D758" s="127" t="inlineStr">
        <is>
          <t>Competitive Strategy</t>
        </is>
      </c>
      <c r="E758" s="127" t="n">
        <v>2</v>
      </c>
      <c r="F758" s="127" t="inlineStr">
        <is>
          <t>Strategic Management Journal; Academy of Management Review; Organization Science; Journal of Economics &amp; Management Strategy</t>
        </is>
      </c>
    </row>
    <row r="759" ht="37.5" customHeight="1" s="91">
      <c r="A759" s="128" t="n">
        <v>27</v>
      </c>
      <c r="B759" s="128" t="inlineStr">
        <is>
          <t>Rice Jones</t>
        </is>
      </c>
      <c r="C759" s="128" t="inlineStr">
        <is>
          <t>Strategic Management</t>
        </is>
      </c>
      <c r="D759" s="128" t="inlineStr">
        <is>
          <t>Corporate Strategy</t>
        </is>
      </c>
      <c r="E759" s="128" t="n">
        <v>2</v>
      </c>
      <c r="F759" s="128" t="inlineStr">
        <is>
          <t>Strategic Management Journal; Academy of Management Review; Organization Science; Journal of Economics &amp; Management Strategy</t>
        </is>
      </c>
    </row>
    <row r="760" ht="37.5" customHeight="1" s="91">
      <c r="A760" s="127" t="n">
        <v>27</v>
      </c>
      <c r="B760" s="127" t="inlineStr">
        <is>
          <t>Rice Jones</t>
        </is>
      </c>
      <c r="C760" s="127" t="inlineStr">
        <is>
          <t>Strategic Management</t>
        </is>
      </c>
      <c r="D760" s="127" t="inlineStr">
        <is>
          <t>Innovation</t>
        </is>
      </c>
      <c r="E760" s="127" t="n">
        <v>2</v>
      </c>
      <c r="F760" s="127" t="inlineStr">
        <is>
          <t>Strategic Management Journal; Academy of Management Review; Organization Science; Journal of Economics &amp; Management Strategy</t>
        </is>
      </c>
    </row>
    <row r="761" ht="37.5" customHeight="1" s="91">
      <c r="A761" s="128" t="n">
        <v>27</v>
      </c>
      <c r="B761" s="128" t="inlineStr">
        <is>
          <t>Rice Jones</t>
        </is>
      </c>
      <c r="C761" s="128" t="inlineStr">
        <is>
          <t>Strategic Management</t>
        </is>
      </c>
      <c r="D761" s="128" t="inlineStr">
        <is>
          <t>Strategic Management</t>
        </is>
      </c>
      <c r="E761" s="128" t="n">
        <v>1</v>
      </c>
      <c r="F761" s="128" t="inlineStr">
        <is>
          <t>Strategic Management Journal; Academy of Management Review; Organization Science; Journal of Economics &amp; Management Strategy</t>
        </is>
      </c>
    </row>
    <row r="762" ht="37.5" customHeight="1" s="91">
      <c r="A762" s="127" t="n">
        <v>28</v>
      </c>
      <c r="B762" s="127" t="inlineStr">
        <is>
          <t>Minnesota Carlson</t>
        </is>
      </c>
      <c r="C762" s="127" t="inlineStr">
        <is>
          <t>Accounting</t>
        </is>
      </c>
      <c r="D762" s="127" t="inlineStr">
        <is>
          <t>Financial Accounting</t>
        </is>
      </c>
      <c r="E762" s="127" t="n">
        <v>5</v>
      </c>
      <c r="F762" s="127" t="inlineStr">
        <is>
          <t>The Accounting Review; Journal of Accounting Research; Journal of Accounting &amp; Economics; Review of Accounting Studies</t>
        </is>
      </c>
    </row>
    <row r="763" ht="37.5" customHeight="1" s="91">
      <c r="A763" s="128" t="n">
        <v>28</v>
      </c>
      <c r="B763" s="128" t="inlineStr">
        <is>
          <t>Minnesota Carlson</t>
        </is>
      </c>
      <c r="C763" s="128" t="inlineStr">
        <is>
          <t>Accounting</t>
        </is>
      </c>
      <c r="D763" s="128" t="inlineStr">
        <is>
          <t>Managerial Accounting</t>
        </is>
      </c>
      <c r="E763" s="128" t="n">
        <v>4</v>
      </c>
      <c r="F763" s="128" t="inlineStr">
        <is>
          <t>The Accounting Review; Journal of Accounting Research; Journal of Accounting &amp; Economics; Review of Accounting Studies</t>
        </is>
      </c>
    </row>
    <row r="764" ht="37.5" customHeight="1" s="91">
      <c r="A764" s="127" t="n">
        <v>28</v>
      </c>
      <c r="B764" s="127" t="inlineStr">
        <is>
          <t>Minnesota Carlson</t>
        </is>
      </c>
      <c r="C764" s="127" t="inlineStr">
        <is>
          <t>Accounting</t>
        </is>
      </c>
      <c r="D764" s="127" t="inlineStr">
        <is>
          <t>Auditing &amp; Assurance</t>
        </is>
      </c>
      <c r="E764" s="127" t="n">
        <v>4</v>
      </c>
      <c r="F764" s="127" t="inlineStr">
        <is>
          <t>The Accounting Review; Journal of Accounting Research; Journal of Accounting &amp; Economics; Review of Accounting Studies</t>
        </is>
      </c>
    </row>
    <row r="765" ht="37.5" customHeight="1" s="91">
      <c r="A765" s="128" t="n">
        <v>28</v>
      </c>
      <c r="B765" s="128" t="inlineStr">
        <is>
          <t>Minnesota Carlson</t>
        </is>
      </c>
      <c r="C765" s="128" t="inlineStr">
        <is>
          <t>Accounting</t>
        </is>
      </c>
      <c r="D765" s="128" t="inlineStr">
        <is>
          <t>Tax</t>
        </is>
      </c>
      <c r="E765" s="128" t="n">
        <v>4</v>
      </c>
      <c r="F765" s="128" t="inlineStr">
        <is>
          <t>The Accounting Review; Journal of Accounting Research; Journal of Accounting &amp; Economics; Review of Accounting Studies</t>
        </is>
      </c>
    </row>
    <row r="766" ht="37.5" customHeight="1" s="91">
      <c r="A766" s="127" t="n">
        <v>28</v>
      </c>
      <c r="B766" s="127" t="inlineStr">
        <is>
          <t>Minnesota Carlson</t>
        </is>
      </c>
      <c r="C766" s="127" t="inlineStr">
        <is>
          <t>Finance</t>
        </is>
      </c>
      <c r="D766" s="127" t="inlineStr">
        <is>
          <t>Corporate Finance</t>
        </is>
      </c>
      <c r="E766" s="127" t="n">
        <v>6</v>
      </c>
      <c r="F766" s="127" t="inlineStr">
        <is>
          <t>Journal of Finance; Review of Financial Studies; Journal of Financial Economics; Journal of Financial &amp; Quantitative Analysis</t>
        </is>
      </c>
    </row>
    <row r="767" ht="37.5" customHeight="1" s="91">
      <c r="A767" s="128" t="n">
        <v>28</v>
      </c>
      <c r="B767" s="128" t="inlineStr">
        <is>
          <t>Minnesota Carlson</t>
        </is>
      </c>
      <c r="C767" s="128" t="inlineStr">
        <is>
          <t>Finance</t>
        </is>
      </c>
      <c r="D767" s="128" t="inlineStr">
        <is>
          <t>Asset Pricing</t>
        </is>
      </c>
      <c r="E767" s="128" t="n">
        <v>5</v>
      </c>
      <c r="F767" s="128" t="inlineStr">
        <is>
          <t>Journal of Finance; Review of Financial Studies; Journal of Financial Economics; Journal of Financial &amp; Quantitative Analysis</t>
        </is>
      </c>
    </row>
    <row r="768" ht="37.5" customHeight="1" s="91">
      <c r="A768" s="127" t="n">
        <v>28</v>
      </c>
      <c r="B768" s="127" t="inlineStr">
        <is>
          <t>Minnesota Carlson</t>
        </is>
      </c>
      <c r="C768" s="127" t="inlineStr">
        <is>
          <t>Finance</t>
        </is>
      </c>
      <c r="D768" s="127" t="inlineStr">
        <is>
          <t>Banking &amp; Financial Institutions</t>
        </is>
      </c>
      <c r="E768" s="127" t="n">
        <v>5</v>
      </c>
      <c r="F768" s="127" t="inlineStr">
        <is>
          <t>Journal of Finance; Review of Financial Studies; Journal of Financial Economics; Journal of Financial &amp; Quantitative Analysis</t>
        </is>
      </c>
    </row>
    <row r="769" ht="37.5" customHeight="1" s="91">
      <c r="A769" s="128" t="n">
        <v>28</v>
      </c>
      <c r="B769" s="128" t="inlineStr">
        <is>
          <t>Minnesota Carlson</t>
        </is>
      </c>
      <c r="C769" s="128" t="inlineStr">
        <is>
          <t>Finance</t>
        </is>
      </c>
      <c r="D769" s="128" t="inlineStr">
        <is>
          <t>International Finance</t>
        </is>
      </c>
      <c r="E769" s="128" t="n">
        <v>5</v>
      </c>
      <c r="F769" s="128" t="inlineStr">
        <is>
          <t>Journal of Finance; Review of Financial Studies; Journal of Financial Economics; Journal of Financial &amp; Quantitative Analysis</t>
        </is>
      </c>
    </row>
    <row r="770" ht="37.5" customHeight="1" s="91">
      <c r="A770" s="127" t="n">
        <v>28</v>
      </c>
      <c r="B770" s="127" t="inlineStr">
        <is>
          <t>Minnesota Carlson</t>
        </is>
      </c>
      <c r="C770" s="127" t="inlineStr">
        <is>
          <t>Information &amp; Decision Sciences</t>
        </is>
      </c>
      <c r="D770" s="127" t="inlineStr">
        <is>
          <t>Microeconomics</t>
        </is>
      </c>
      <c r="E770" s="127" t="n">
        <v>4</v>
      </c>
      <c r="F770" s="127" t="inlineStr">
        <is>
          <t>American Economic Review; Econometrica; Quarterly Journal of Economics; Review of Economic Studies</t>
        </is>
      </c>
    </row>
    <row r="771" ht="37.5" customHeight="1" s="91">
      <c r="A771" s="128" t="n">
        <v>28</v>
      </c>
      <c r="B771" s="128" t="inlineStr">
        <is>
          <t>Minnesota Carlson</t>
        </is>
      </c>
      <c r="C771" s="128" t="inlineStr">
        <is>
          <t>Information &amp; Decision Sciences</t>
        </is>
      </c>
      <c r="D771" s="128" t="inlineStr">
        <is>
          <t>Macroeconomics</t>
        </is>
      </c>
      <c r="E771" s="128" t="n">
        <v>4</v>
      </c>
      <c r="F771" s="128" t="inlineStr">
        <is>
          <t>American Economic Review; Econometrica; Quarterly Journal of Economics; Review of Economic Studies</t>
        </is>
      </c>
    </row>
    <row r="772" ht="37.5" customHeight="1" s="91">
      <c r="A772" s="127" t="n">
        <v>28</v>
      </c>
      <c r="B772" s="127" t="inlineStr">
        <is>
          <t>Minnesota Carlson</t>
        </is>
      </c>
      <c r="C772" s="127" t="inlineStr">
        <is>
          <t>Information &amp; Decision Sciences</t>
        </is>
      </c>
      <c r="D772" s="127" t="inlineStr">
        <is>
          <t>Applied Economics</t>
        </is>
      </c>
      <c r="E772" s="127" t="n">
        <v>4</v>
      </c>
      <c r="F772" s="127" t="inlineStr">
        <is>
          <t>American Economic Review; Econometrica; Quarterly Journal of Economics; Review of Economic Studies</t>
        </is>
      </c>
    </row>
    <row r="773" ht="37.5" customHeight="1" s="91">
      <c r="A773" s="128" t="n">
        <v>28</v>
      </c>
      <c r="B773" s="128" t="inlineStr">
        <is>
          <t>Minnesota Carlson</t>
        </is>
      </c>
      <c r="C773" s="128" t="inlineStr">
        <is>
          <t>Information &amp; Decision Sciences</t>
        </is>
      </c>
      <c r="D773" s="128" t="inlineStr">
        <is>
          <t>Industrial Organization</t>
        </is>
      </c>
      <c r="E773" s="128" t="n">
        <v>4</v>
      </c>
      <c r="F773" s="128" t="inlineStr">
        <is>
          <t>American Economic Review; Econometrica; Quarterly Journal of Economics; Review of Economic Studies</t>
        </is>
      </c>
    </row>
    <row r="774" ht="37.5" customHeight="1" s="91">
      <c r="A774" s="127" t="n">
        <v>28</v>
      </c>
      <c r="B774" s="127" t="inlineStr">
        <is>
          <t>Minnesota Carlson</t>
        </is>
      </c>
      <c r="C774" s="127" t="inlineStr">
        <is>
          <t>Marketing</t>
        </is>
      </c>
      <c r="D774" s="127" t="inlineStr">
        <is>
          <t>Consumer Behavior</t>
        </is>
      </c>
      <c r="E774" s="127" t="n">
        <v>5</v>
      </c>
      <c r="F774" s="127" t="inlineStr">
        <is>
          <t>Journal of Marketing Research; Journal of Marketing; Marketing Science; Journal of Consumer Research</t>
        </is>
      </c>
    </row>
    <row r="775" ht="37.5" customHeight="1" s="91">
      <c r="A775" s="128" t="n">
        <v>28</v>
      </c>
      <c r="B775" s="128" t="inlineStr">
        <is>
          <t>Minnesota Carlson</t>
        </is>
      </c>
      <c r="C775" s="128" t="inlineStr">
        <is>
          <t>Marketing</t>
        </is>
      </c>
      <c r="D775" s="128" t="inlineStr">
        <is>
          <t>Marketing Analytics</t>
        </is>
      </c>
      <c r="E775" s="128" t="n">
        <v>5</v>
      </c>
      <c r="F775" s="128" t="inlineStr">
        <is>
          <t>Journal of Marketing Research; Journal of Marketing; Marketing Science; Journal of Consumer Research</t>
        </is>
      </c>
    </row>
    <row r="776" ht="37.5" customHeight="1" s="91">
      <c r="A776" s="127" t="n">
        <v>28</v>
      </c>
      <c r="B776" s="127" t="inlineStr">
        <is>
          <t>Minnesota Carlson</t>
        </is>
      </c>
      <c r="C776" s="127" t="inlineStr">
        <is>
          <t>Marketing</t>
        </is>
      </c>
      <c r="D776" s="127" t="inlineStr">
        <is>
          <t>Digital Marketing</t>
        </is>
      </c>
      <c r="E776" s="127" t="n">
        <v>4</v>
      </c>
      <c r="F776" s="127" t="inlineStr">
        <is>
          <t>Journal of Marketing Research; Journal of Marketing; Marketing Science; Journal of Consumer Research</t>
        </is>
      </c>
    </row>
    <row r="777" ht="37.5" customHeight="1" s="91">
      <c r="A777" s="128" t="n">
        <v>28</v>
      </c>
      <c r="B777" s="128" t="inlineStr">
        <is>
          <t>Minnesota Carlson</t>
        </is>
      </c>
      <c r="C777" s="128" t="inlineStr">
        <is>
          <t>Marketing</t>
        </is>
      </c>
      <c r="D777" s="128" t="inlineStr">
        <is>
          <t>Brand Management</t>
        </is>
      </c>
      <c r="E777" s="128" t="n">
        <v>4</v>
      </c>
      <c r="F777" s="128" t="inlineStr">
        <is>
          <t>Journal of Marketing Research; Journal of Marketing; Marketing Science; Journal of Consumer Research</t>
        </is>
      </c>
    </row>
    <row r="778" ht="37.5" customHeight="1" s="91">
      <c r="A778" s="127" t="n">
        <v>28</v>
      </c>
      <c r="B778" s="127" t="inlineStr">
        <is>
          <t>Minnesota Carlson</t>
        </is>
      </c>
      <c r="C778" s="127" t="inlineStr">
        <is>
          <t>Strategic Management &amp; Entrepreneurship</t>
        </is>
      </c>
      <c r="D778" s="127" t="inlineStr">
        <is>
          <t>Competitive Strategy</t>
        </is>
      </c>
      <c r="E778" s="127" t="n">
        <v>5</v>
      </c>
      <c r="F778" s="127" t="inlineStr">
        <is>
          <t>Strategic Management Journal; Academy of Management Review; Organization Science; Journal of Economics &amp; Management Strategy</t>
        </is>
      </c>
    </row>
    <row r="779" ht="37.5" customHeight="1" s="91">
      <c r="A779" s="128" t="n">
        <v>28</v>
      </c>
      <c r="B779" s="128" t="inlineStr">
        <is>
          <t>Minnesota Carlson</t>
        </is>
      </c>
      <c r="C779" s="128" t="inlineStr">
        <is>
          <t>Strategic Management &amp; Entrepreneurship</t>
        </is>
      </c>
      <c r="D779" s="128" t="inlineStr">
        <is>
          <t>Corporate Strategy</t>
        </is>
      </c>
      <c r="E779" s="128" t="n">
        <v>5</v>
      </c>
      <c r="F779" s="128" t="inlineStr">
        <is>
          <t>Strategic Management Journal; Academy of Management Review; Organization Science; Journal of Economics &amp; Management Strategy</t>
        </is>
      </c>
    </row>
    <row r="780" ht="37.5" customHeight="1" s="91">
      <c r="A780" s="127" t="n">
        <v>28</v>
      </c>
      <c r="B780" s="127" t="inlineStr">
        <is>
          <t>Minnesota Carlson</t>
        </is>
      </c>
      <c r="C780" s="127" t="inlineStr">
        <is>
          <t>Strategic Management &amp; Entrepreneurship</t>
        </is>
      </c>
      <c r="D780" s="127" t="inlineStr">
        <is>
          <t>Innovation</t>
        </is>
      </c>
      <c r="E780" s="127" t="n">
        <v>4</v>
      </c>
      <c r="F780" s="127" t="inlineStr">
        <is>
          <t>Strategic Management Journal; Academy of Management Review; Organization Science; Journal of Economics &amp; Management Strategy</t>
        </is>
      </c>
    </row>
    <row r="781" ht="37.5" customHeight="1" s="91">
      <c r="A781" s="128" t="n">
        <v>28</v>
      </c>
      <c r="B781" s="128" t="inlineStr">
        <is>
          <t>Minnesota Carlson</t>
        </is>
      </c>
      <c r="C781" s="128" t="inlineStr">
        <is>
          <t>Strategic Management &amp; Entrepreneurship</t>
        </is>
      </c>
      <c r="D781" s="128" t="inlineStr">
        <is>
          <t>Strategic Management</t>
        </is>
      </c>
      <c r="E781" s="128" t="n">
        <v>4</v>
      </c>
      <c r="F781" s="128" t="inlineStr">
        <is>
          <t>Strategic Management Journal; Academy of Management Review; Organization Science; Journal of Economics &amp; Management Strategy</t>
        </is>
      </c>
    </row>
    <row r="782" ht="37.5" customHeight="1" s="91">
      <c r="A782" s="127" t="n">
        <v>28</v>
      </c>
      <c r="B782" s="127" t="inlineStr">
        <is>
          <t>Minnesota Carlson</t>
        </is>
      </c>
      <c r="C782" s="127" t="inlineStr">
        <is>
          <t>Supply Chain &amp; Operations</t>
        </is>
      </c>
      <c r="D782" s="127" t="inlineStr">
        <is>
          <t>Supply Chain Management</t>
        </is>
      </c>
      <c r="E782" s="127" t="n">
        <v>4</v>
      </c>
      <c r="F782" s="127" t="inlineStr">
        <is>
          <t>Management Science; Operations Research; Manufacturing &amp; Service Operations Management; Production &amp; Operations Management</t>
        </is>
      </c>
    </row>
    <row r="783" ht="37.5" customHeight="1" s="91">
      <c r="A783" s="128" t="n">
        <v>28</v>
      </c>
      <c r="B783" s="128" t="inlineStr">
        <is>
          <t>Minnesota Carlson</t>
        </is>
      </c>
      <c r="C783" s="128" t="inlineStr">
        <is>
          <t>Supply Chain &amp; Operations</t>
        </is>
      </c>
      <c r="D783" s="128" t="inlineStr">
        <is>
          <t>Operations Research</t>
        </is>
      </c>
      <c r="E783" s="128" t="n">
        <v>4</v>
      </c>
      <c r="F783" s="128" t="inlineStr">
        <is>
          <t>Management Science; Operations Research; Manufacturing &amp; Service Operations Management; Production &amp; Operations Management</t>
        </is>
      </c>
    </row>
    <row r="784" ht="37.5" customHeight="1" s="91">
      <c r="A784" s="127" t="n">
        <v>28</v>
      </c>
      <c r="B784" s="127" t="inlineStr">
        <is>
          <t>Minnesota Carlson</t>
        </is>
      </c>
      <c r="C784" s="127" t="inlineStr">
        <is>
          <t>Supply Chain &amp; Operations</t>
        </is>
      </c>
      <c r="D784" s="127" t="inlineStr">
        <is>
          <t>Process Optimization</t>
        </is>
      </c>
      <c r="E784" s="127" t="n">
        <v>3</v>
      </c>
      <c r="F784" s="127" t="inlineStr">
        <is>
          <t>Management Science; Operations Research; Manufacturing &amp; Service Operations Management; Production &amp; Operations Management</t>
        </is>
      </c>
    </row>
    <row r="785" ht="37.5" customHeight="1" s="91">
      <c r="A785" s="128" t="n">
        <v>28</v>
      </c>
      <c r="B785" s="128" t="inlineStr">
        <is>
          <t>Minnesota Carlson</t>
        </is>
      </c>
      <c r="C785" s="128" t="inlineStr">
        <is>
          <t>Supply Chain &amp; Operations</t>
        </is>
      </c>
      <c r="D785" s="128" t="inlineStr">
        <is>
          <t>Analytics</t>
        </is>
      </c>
      <c r="E785" s="128" t="n">
        <v>3</v>
      </c>
      <c r="F785" s="128" t="inlineStr">
        <is>
          <t>Management Science; Operations Research; Manufacturing &amp; Service Operations Management; Production &amp; Operations Management</t>
        </is>
      </c>
    </row>
    <row r="786" ht="37.5" customHeight="1" s="91">
      <c r="A786" s="127" t="n">
        <v>29</v>
      </c>
      <c r="B786" s="127" t="inlineStr">
        <is>
          <t>Ohio State Fisher</t>
        </is>
      </c>
      <c r="C786" s="127" t="inlineStr">
        <is>
          <t>Accounting &amp; Management Information Systems</t>
        </is>
      </c>
      <c r="D786" s="127" t="inlineStr">
        <is>
          <t>Financial Accounting</t>
        </is>
      </c>
      <c r="E786" s="127" t="n">
        <v>2</v>
      </c>
      <c r="F786" s="127" t="inlineStr">
        <is>
          <t>The Accounting Review; Journal of Accounting Research; Journal of Accounting &amp; Economics; Review of Accounting Studies</t>
        </is>
      </c>
    </row>
    <row r="787" ht="37.5" customHeight="1" s="91">
      <c r="A787" s="128" t="n">
        <v>29</v>
      </c>
      <c r="B787" s="128" t="inlineStr">
        <is>
          <t>Ohio State Fisher</t>
        </is>
      </c>
      <c r="C787" s="128" t="inlineStr">
        <is>
          <t>Accounting &amp; Management Information Systems</t>
        </is>
      </c>
      <c r="D787" s="128" t="inlineStr">
        <is>
          <t>Managerial Accounting</t>
        </is>
      </c>
      <c r="E787" s="128" t="n">
        <v>2</v>
      </c>
      <c r="F787" s="128" t="inlineStr">
        <is>
          <t>The Accounting Review; Journal of Accounting Research; Journal of Accounting &amp; Economics; Review of Accounting Studies</t>
        </is>
      </c>
    </row>
    <row r="788" ht="37.5" customHeight="1" s="91">
      <c r="A788" s="127" t="n">
        <v>29</v>
      </c>
      <c r="B788" s="127" t="inlineStr">
        <is>
          <t>Ohio State Fisher</t>
        </is>
      </c>
      <c r="C788" s="127" t="inlineStr">
        <is>
          <t>Accounting &amp; Management Information Systems</t>
        </is>
      </c>
      <c r="D788" s="127" t="inlineStr">
        <is>
          <t>Auditing &amp; Assurance</t>
        </is>
      </c>
      <c r="E788" s="127" t="n">
        <v>2</v>
      </c>
      <c r="F788" s="127" t="inlineStr">
        <is>
          <t>The Accounting Review; Journal of Accounting Research; Journal of Accounting &amp; Economics; Review of Accounting Studies</t>
        </is>
      </c>
    </row>
    <row r="789" ht="37.5" customHeight="1" s="91">
      <c r="A789" s="128" t="n">
        <v>29</v>
      </c>
      <c r="B789" s="128" t="inlineStr">
        <is>
          <t>Ohio State Fisher</t>
        </is>
      </c>
      <c r="C789" s="128" t="inlineStr">
        <is>
          <t>Accounting &amp; Management Information Systems</t>
        </is>
      </c>
      <c r="D789" s="128" t="inlineStr">
        <is>
          <t>Tax</t>
        </is>
      </c>
      <c r="E789" s="128" t="n">
        <v>1</v>
      </c>
      <c r="F789" s="128" t="inlineStr">
        <is>
          <t>The Accounting Review; Journal of Accounting Research; Journal of Accounting &amp; Economics; Review of Accounting Studies</t>
        </is>
      </c>
    </row>
    <row r="790" ht="37.5" customHeight="1" s="91">
      <c r="A790" s="127" t="n">
        <v>29</v>
      </c>
      <c r="B790" s="127" t="inlineStr">
        <is>
          <t>Ohio State Fisher</t>
        </is>
      </c>
      <c r="C790" s="127" t="inlineStr">
        <is>
          <t>Finance</t>
        </is>
      </c>
      <c r="D790" s="127" t="inlineStr">
        <is>
          <t>Corporate Finance</t>
        </is>
      </c>
      <c r="E790" s="127" t="n">
        <v>3</v>
      </c>
      <c r="F790" s="127" t="inlineStr">
        <is>
          <t>Journal of Finance; Review of Financial Studies; Journal of Financial Economics; Journal of Financial &amp; Quantitative Analysis</t>
        </is>
      </c>
    </row>
    <row r="791" ht="37.5" customHeight="1" s="91">
      <c r="A791" s="128" t="n">
        <v>29</v>
      </c>
      <c r="B791" s="128" t="inlineStr">
        <is>
          <t>Ohio State Fisher</t>
        </is>
      </c>
      <c r="C791" s="128" t="inlineStr">
        <is>
          <t>Finance</t>
        </is>
      </c>
      <c r="D791" s="128" t="inlineStr">
        <is>
          <t>Asset Pricing</t>
        </is>
      </c>
      <c r="E791" s="128" t="n">
        <v>2</v>
      </c>
      <c r="F791" s="128" t="inlineStr">
        <is>
          <t>Journal of Finance; Review of Financial Studies; Journal of Financial Economics; Journal of Financial &amp; Quantitative Analysis</t>
        </is>
      </c>
    </row>
    <row r="792" ht="37.5" customHeight="1" s="91">
      <c r="A792" s="127" t="n">
        <v>29</v>
      </c>
      <c r="B792" s="127" t="inlineStr">
        <is>
          <t>Ohio State Fisher</t>
        </is>
      </c>
      <c r="C792" s="127" t="inlineStr">
        <is>
          <t>Finance</t>
        </is>
      </c>
      <c r="D792" s="127" t="inlineStr">
        <is>
          <t>Banking &amp; Financial Institutions</t>
        </is>
      </c>
      <c r="E792" s="127" t="n">
        <v>2</v>
      </c>
      <c r="F792" s="127" t="inlineStr">
        <is>
          <t>Journal of Finance; Review of Financial Studies; Journal of Financial Economics; Journal of Financial &amp; Quantitative Analysis</t>
        </is>
      </c>
    </row>
    <row r="793" ht="37.5" customHeight="1" s="91">
      <c r="A793" s="128" t="n">
        <v>29</v>
      </c>
      <c r="B793" s="128" t="inlineStr">
        <is>
          <t>Ohio State Fisher</t>
        </is>
      </c>
      <c r="C793" s="128" t="inlineStr">
        <is>
          <t>Finance</t>
        </is>
      </c>
      <c r="D793" s="128" t="inlineStr">
        <is>
          <t>International Finance</t>
        </is>
      </c>
      <c r="E793" s="128" t="n">
        <v>2</v>
      </c>
      <c r="F793" s="128" t="inlineStr">
        <is>
          <t>Journal of Finance; Review of Financial Studies; Journal of Financial Economics; Journal of Financial &amp; Quantitative Analysis</t>
        </is>
      </c>
    </row>
    <row r="794" ht="37.5" customHeight="1" s="91">
      <c r="A794" s="127" t="n">
        <v>29</v>
      </c>
      <c r="B794" s="127" t="inlineStr">
        <is>
          <t>Ohio State Fisher</t>
        </is>
      </c>
      <c r="C794" s="127" t="inlineStr">
        <is>
          <t>Management &amp; Human Resources</t>
        </is>
      </c>
      <c r="D794" s="127" t="inlineStr">
        <is>
          <t>Strategic Management</t>
        </is>
      </c>
      <c r="E794" s="127" t="n">
        <v>2</v>
      </c>
      <c r="F794" s="127" t="inlineStr">
        <is>
          <t>Academy of Management Review; Academy of Management Journal; Administrative Science Quarterly; Strategic Management Journal</t>
        </is>
      </c>
    </row>
    <row r="795" ht="37.5" customHeight="1" s="91">
      <c r="A795" s="128" t="n">
        <v>29</v>
      </c>
      <c r="B795" s="128" t="inlineStr">
        <is>
          <t>Ohio State Fisher</t>
        </is>
      </c>
      <c r="C795" s="128" t="inlineStr">
        <is>
          <t>Management &amp; Human Resources</t>
        </is>
      </c>
      <c r="D795" s="128" t="inlineStr">
        <is>
          <t>Organizational Theory</t>
        </is>
      </c>
      <c r="E795" s="128" t="n">
        <v>2</v>
      </c>
      <c r="F795" s="128" t="inlineStr">
        <is>
          <t>Academy of Management Review; Academy of Management Journal; Administrative Science Quarterly; Strategic Management Journal</t>
        </is>
      </c>
    </row>
    <row r="796" ht="37.5" customHeight="1" s="91">
      <c r="A796" s="127" t="n">
        <v>29</v>
      </c>
      <c r="B796" s="127" t="inlineStr">
        <is>
          <t>Ohio State Fisher</t>
        </is>
      </c>
      <c r="C796" s="127" t="inlineStr">
        <is>
          <t>Management &amp; Human Resources</t>
        </is>
      </c>
      <c r="D796" s="127" t="inlineStr">
        <is>
          <t>Leadership</t>
        </is>
      </c>
      <c r="E796" s="127" t="n">
        <v>2</v>
      </c>
      <c r="F796" s="127" t="inlineStr">
        <is>
          <t>Academy of Management Review; Academy of Management Journal; Administrative Science Quarterly; Strategic Management Journal</t>
        </is>
      </c>
    </row>
    <row r="797" ht="37.5" customHeight="1" s="91">
      <c r="A797" s="128" t="n">
        <v>29</v>
      </c>
      <c r="B797" s="128" t="inlineStr">
        <is>
          <t>Ohio State Fisher</t>
        </is>
      </c>
      <c r="C797" s="128" t="inlineStr">
        <is>
          <t>Management &amp; Human Resources</t>
        </is>
      </c>
      <c r="D797" s="128" t="inlineStr">
        <is>
          <t>Entrepreneurship</t>
        </is>
      </c>
      <c r="E797" s="128" t="n">
        <v>2</v>
      </c>
      <c r="F797" s="128" t="inlineStr">
        <is>
          <t>Academy of Management Review; Academy of Management Journal; Administrative Science Quarterly; Strategic Management Journal</t>
        </is>
      </c>
    </row>
    <row r="798" ht="37.5" customHeight="1" s="91">
      <c r="A798" s="127" t="n">
        <v>29</v>
      </c>
      <c r="B798" s="127" t="inlineStr">
        <is>
          <t>Ohio State Fisher</t>
        </is>
      </c>
      <c r="C798" s="127" t="inlineStr">
        <is>
          <t>Management Sciences</t>
        </is>
      </c>
      <c r="D798" s="127" t="inlineStr">
        <is>
          <t>Strategic Management</t>
        </is>
      </c>
      <c r="E798" s="127" t="n">
        <v>2</v>
      </c>
      <c r="F798" s="127" t="inlineStr">
        <is>
          <t>Academy of Management Review; Academy of Management Journal; Administrative Science Quarterly; Strategic Management Journal</t>
        </is>
      </c>
    </row>
    <row r="799" ht="37.5" customHeight="1" s="91">
      <c r="A799" s="128" t="n">
        <v>29</v>
      </c>
      <c r="B799" s="128" t="inlineStr">
        <is>
          <t>Ohio State Fisher</t>
        </is>
      </c>
      <c r="C799" s="128" t="inlineStr">
        <is>
          <t>Management Sciences</t>
        </is>
      </c>
      <c r="D799" s="128" t="inlineStr">
        <is>
          <t>Organizational Theory</t>
        </is>
      </c>
      <c r="E799" s="128" t="n">
        <v>2</v>
      </c>
      <c r="F799" s="128" t="inlineStr">
        <is>
          <t>Academy of Management Review; Academy of Management Journal; Administrative Science Quarterly; Strategic Management Journal</t>
        </is>
      </c>
    </row>
    <row r="800" ht="37.5" customHeight="1" s="91">
      <c r="A800" s="127" t="n">
        <v>29</v>
      </c>
      <c r="B800" s="127" t="inlineStr">
        <is>
          <t>Ohio State Fisher</t>
        </is>
      </c>
      <c r="C800" s="127" t="inlineStr">
        <is>
          <t>Management Sciences</t>
        </is>
      </c>
      <c r="D800" s="127" t="inlineStr">
        <is>
          <t>Leadership</t>
        </is>
      </c>
      <c r="E800" s="127" t="n">
        <v>2</v>
      </c>
      <c r="F800" s="127" t="inlineStr">
        <is>
          <t>Academy of Management Review; Academy of Management Journal; Administrative Science Quarterly; Strategic Management Journal</t>
        </is>
      </c>
    </row>
    <row r="801" ht="37.5" customHeight="1" s="91">
      <c r="A801" s="128" t="n">
        <v>29</v>
      </c>
      <c r="B801" s="128" t="inlineStr">
        <is>
          <t>Ohio State Fisher</t>
        </is>
      </c>
      <c r="C801" s="128" t="inlineStr">
        <is>
          <t>Management Sciences</t>
        </is>
      </c>
      <c r="D801" s="128" t="inlineStr">
        <is>
          <t>Entrepreneurship</t>
        </is>
      </c>
      <c r="E801" s="128" t="n">
        <v>2</v>
      </c>
      <c r="F801" s="128" t="inlineStr">
        <is>
          <t>Academy of Management Review; Academy of Management Journal; Administrative Science Quarterly; Strategic Management Journal</t>
        </is>
      </c>
    </row>
    <row r="802" ht="37.5" customHeight="1" s="91">
      <c r="A802" s="127" t="n">
        <v>29</v>
      </c>
      <c r="B802" s="127" t="inlineStr">
        <is>
          <t>Ohio State Fisher</t>
        </is>
      </c>
      <c r="C802" s="127" t="inlineStr">
        <is>
          <t>Marketing &amp; Logistics</t>
        </is>
      </c>
      <c r="D802" s="127" t="inlineStr">
        <is>
          <t>Consumer Behavior</t>
        </is>
      </c>
      <c r="E802" s="127" t="n">
        <v>2</v>
      </c>
      <c r="F802" s="127" t="inlineStr">
        <is>
          <t>Journal of Marketing Research; Journal of Marketing; Marketing Science; Journal of Consumer Research</t>
        </is>
      </c>
    </row>
    <row r="803" ht="37.5" customHeight="1" s="91">
      <c r="A803" s="128" t="n">
        <v>29</v>
      </c>
      <c r="B803" s="128" t="inlineStr">
        <is>
          <t>Ohio State Fisher</t>
        </is>
      </c>
      <c r="C803" s="128" t="inlineStr">
        <is>
          <t>Marketing &amp; Logistics</t>
        </is>
      </c>
      <c r="D803" s="128" t="inlineStr">
        <is>
          <t>Marketing Analytics</t>
        </is>
      </c>
      <c r="E803" s="128" t="n">
        <v>2</v>
      </c>
      <c r="F803" s="128" t="inlineStr">
        <is>
          <t>Journal of Marketing Research; Journal of Marketing; Marketing Science; Journal of Consumer Research</t>
        </is>
      </c>
    </row>
    <row r="804" ht="37.5" customHeight="1" s="91">
      <c r="A804" s="127" t="n">
        <v>29</v>
      </c>
      <c r="B804" s="127" t="inlineStr">
        <is>
          <t>Ohio State Fisher</t>
        </is>
      </c>
      <c r="C804" s="127" t="inlineStr">
        <is>
          <t>Marketing &amp; Logistics</t>
        </is>
      </c>
      <c r="D804" s="127" t="inlineStr">
        <is>
          <t>Digital Marketing</t>
        </is>
      </c>
      <c r="E804" s="127" t="n">
        <v>2</v>
      </c>
      <c r="F804" s="127" t="inlineStr">
        <is>
          <t>Journal of Marketing Research; Journal of Marketing; Marketing Science; Journal of Consumer Research</t>
        </is>
      </c>
    </row>
    <row r="805" ht="37.5" customHeight="1" s="91">
      <c r="A805" s="128" t="n">
        <v>29</v>
      </c>
      <c r="B805" s="128" t="inlineStr">
        <is>
          <t>Ohio State Fisher</t>
        </is>
      </c>
      <c r="C805" s="128" t="inlineStr">
        <is>
          <t>Marketing &amp; Logistics</t>
        </is>
      </c>
      <c r="D805" s="128" t="inlineStr">
        <is>
          <t>Brand Management</t>
        </is>
      </c>
      <c r="E805" s="128" t="n">
        <v>2</v>
      </c>
      <c r="F805" s="128" t="inlineStr">
        <is>
          <t>Journal of Marketing Research; Journal of Marketing; Marketing Science; Journal of Consumer Research</t>
        </is>
      </c>
    </row>
    <row r="806" ht="37.5" customHeight="1" s="91">
      <c r="A806" s="127" t="n">
        <v>30</v>
      </c>
      <c r="B806" s="127" t="inlineStr">
        <is>
          <t>GT Scheller</t>
        </is>
      </c>
      <c r="C806" s="127" t="inlineStr">
        <is>
          <t>Accounting</t>
        </is>
      </c>
      <c r="D806" s="127" t="inlineStr">
        <is>
          <t>Financial Accounting</t>
        </is>
      </c>
      <c r="E806" s="127" t="n">
        <v>2</v>
      </c>
      <c r="F806" s="127" t="inlineStr">
        <is>
          <t>The Accounting Review; Journal of Accounting Research; Journal of Accounting &amp; Economics; Review of Accounting Studies</t>
        </is>
      </c>
    </row>
    <row r="807" ht="37.5" customHeight="1" s="91">
      <c r="A807" s="128" t="n">
        <v>30</v>
      </c>
      <c r="B807" s="128" t="inlineStr">
        <is>
          <t>GT Scheller</t>
        </is>
      </c>
      <c r="C807" s="128" t="inlineStr">
        <is>
          <t>Accounting</t>
        </is>
      </c>
      <c r="D807" s="128" t="inlineStr">
        <is>
          <t>Managerial Accounting</t>
        </is>
      </c>
      <c r="E807" s="128" t="n">
        <v>1</v>
      </c>
      <c r="F807" s="128" t="inlineStr">
        <is>
          <t>The Accounting Review; Journal of Accounting Research; Journal of Accounting &amp; Economics; Review of Accounting Studies</t>
        </is>
      </c>
    </row>
    <row r="808" ht="37.5" customHeight="1" s="91">
      <c r="A808" s="127" t="n">
        <v>30</v>
      </c>
      <c r="B808" s="127" t="inlineStr">
        <is>
          <t>GT Scheller</t>
        </is>
      </c>
      <c r="C808" s="127" t="inlineStr">
        <is>
          <t>Accounting</t>
        </is>
      </c>
      <c r="D808" s="127" t="inlineStr">
        <is>
          <t>Auditing &amp; Assurance</t>
        </is>
      </c>
      <c r="E808" s="127" t="n">
        <v>1</v>
      </c>
      <c r="F808" s="127" t="inlineStr">
        <is>
          <t>The Accounting Review; Journal of Accounting Research; Journal of Accounting &amp; Economics; Review of Accounting Studies</t>
        </is>
      </c>
    </row>
    <row r="809" ht="37.5" customHeight="1" s="91">
      <c r="A809" s="128" t="n">
        <v>30</v>
      </c>
      <c r="B809" s="128" t="inlineStr">
        <is>
          <t>GT Scheller</t>
        </is>
      </c>
      <c r="C809" s="128" t="inlineStr">
        <is>
          <t>Accounting</t>
        </is>
      </c>
      <c r="D809" s="128" t="inlineStr">
        <is>
          <t>Tax</t>
        </is>
      </c>
      <c r="E809" s="128" t="n">
        <v>1</v>
      </c>
      <c r="F809" s="128" t="inlineStr">
        <is>
          <t>The Accounting Review; Journal of Accounting Research; Journal of Accounting &amp; Economics; Review of Accounting Studies</t>
        </is>
      </c>
    </row>
    <row r="810" ht="37.5" customHeight="1" s="91">
      <c r="A810" s="127" t="n">
        <v>30</v>
      </c>
      <c r="B810" s="127" t="inlineStr">
        <is>
          <t>GT Scheller</t>
        </is>
      </c>
      <c r="C810" s="127" t="inlineStr">
        <is>
          <t>Finance</t>
        </is>
      </c>
      <c r="D810" s="127" t="inlineStr">
        <is>
          <t>Corporate Finance</t>
        </is>
      </c>
      <c r="E810" s="127" t="n">
        <v>2</v>
      </c>
      <c r="F810" s="127" t="inlineStr">
        <is>
          <t>Journal of Finance; Review of Financial Studies; Journal of Financial Economics; Journal of Financial &amp; Quantitative Analysis</t>
        </is>
      </c>
    </row>
    <row r="811" ht="37.5" customHeight="1" s="91">
      <c r="A811" s="128" t="n">
        <v>30</v>
      </c>
      <c r="B811" s="128" t="inlineStr">
        <is>
          <t>GT Scheller</t>
        </is>
      </c>
      <c r="C811" s="128" t="inlineStr">
        <is>
          <t>Finance</t>
        </is>
      </c>
      <c r="D811" s="128" t="inlineStr">
        <is>
          <t>Asset Pricing</t>
        </is>
      </c>
      <c r="E811" s="128" t="n">
        <v>1</v>
      </c>
      <c r="F811" s="128" t="inlineStr">
        <is>
          <t>Journal of Finance; Review of Financial Studies; Journal of Financial Economics; Journal of Financial &amp; Quantitative Analysis</t>
        </is>
      </c>
    </row>
    <row r="812" ht="37.5" customHeight="1" s="91">
      <c r="A812" s="127" t="n">
        <v>30</v>
      </c>
      <c r="B812" s="127" t="inlineStr">
        <is>
          <t>GT Scheller</t>
        </is>
      </c>
      <c r="C812" s="127" t="inlineStr">
        <is>
          <t>Finance</t>
        </is>
      </c>
      <c r="D812" s="127" t="inlineStr">
        <is>
          <t>Banking &amp; Financial Institutions</t>
        </is>
      </c>
      <c r="E812" s="127" t="n">
        <v>1</v>
      </c>
      <c r="F812" s="127" t="inlineStr">
        <is>
          <t>Journal of Finance; Review of Financial Studies; Journal of Financial Economics; Journal of Financial &amp; Quantitative Analysis</t>
        </is>
      </c>
    </row>
    <row r="813" ht="37.5" customHeight="1" s="91">
      <c r="A813" s="128" t="n">
        <v>30</v>
      </c>
      <c r="B813" s="128" t="inlineStr">
        <is>
          <t>GT Scheller</t>
        </is>
      </c>
      <c r="C813" s="128" t="inlineStr">
        <is>
          <t>Finance</t>
        </is>
      </c>
      <c r="D813" s="128" t="inlineStr">
        <is>
          <t>International Finance</t>
        </is>
      </c>
      <c r="E813" s="128" t="n">
        <v>1</v>
      </c>
      <c r="F813" s="128" t="inlineStr">
        <is>
          <t>Journal of Finance; Review of Financial Studies; Journal of Financial Economics; Journal of Financial &amp; Quantitative Analysis</t>
        </is>
      </c>
    </row>
    <row r="814" ht="37.5" customHeight="1" s="91">
      <c r="A814" s="127" t="n">
        <v>30</v>
      </c>
      <c r="B814" s="127" t="inlineStr">
        <is>
          <t>GT Scheller</t>
        </is>
      </c>
      <c r="C814" s="127" t="inlineStr">
        <is>
          <t>Information Technology Management</t>
        </is>
      </c>
      <c r="D814" s="127" t="inlineStr">
        <is>
          <t>Information Systems</t>
        </is>
      </c>
      <c r="E814" s="127" t="n">
        <v>2</v>
      </c>
      <c r="F814" s="127" t="inlineStr">
        <is>
          <t>Information Systems Research; MIS Quarterly; Journal of Management Information Systems; Decision Support Systems</t>
        </is>
      </c>
    </row>
    <row r="815" ht="37.5" customHeight="1" s="91">
      <c r="A815" s="128" t="n">
        <v>30</v>
      </c>
      <c r="B815" s="128" t="inlineStr">
        <is>
          <t>GT Scheller</t>
        </is>
      </c>
      <c r="C815" s="128" t="inlineStr">
        <is>
          <t>Information Technology Management</t>
        </is>
      </c>
      <c r="D815" s="128" t="inlineStr">
        <is>
          <t>Business Analytics</t>
        </is>
      </c>
      <c r="E815" s="128" t="n">
        <v>1</v>
      </c>
      <c r="F815" s="128" t="inlineStr">
        <is>
          <t>Information Systems Research; MIS Quarterly; Journal of Management Information Systems; Decision Support Systems</t>
        </is>
      </c>
    </row>
    <row r="816" ht="37.5" customHeight="1" s="91">
      <c r="A816" s="127" t="n">
        <v>30</v>
      </c>
      <c r="B816" s="127" t="inlineStr">
        <is>
          <t>GT Scheller</t>
        </is>
      </c>
      <c r="C816" s="127" t="inlineStr">
        <is>
          <t>Information Technology Management</t>
        </is>
      </c>
      <c r="D816" s="127" t="inlineStr">
        <is>
          <t>Technology Management</t>
        </is>
      </c>
      <c r="E816" s="127" t="n">
        <v>1</v>
      </c>
      <c r="F816" s="127" t="inlineStr">
        <is>
          <t>Information Systems Research; MIS Quarterly; Journal of Management Information Systems; Decision Support Systems</t>
        </is>
      </c>
    </row>
    <row r="817" ht="37.5" customHeight="1" s="91">
      <c r="A817" s="128" t="n">
        <v>30</v>
      </c>
      <c r="B817" s="128" t="inlineStr">
        <is>
          <t>GT Scheller</t>
        </is>
      </c>
      <c r="C817" s="128" t="inlineStr">
        <is>
          <t>Information Technology Management</t>
        </is>
      </c>
      <c r="D817" s="128" t="inlineStr">
        <is>
          <t>Data Science</t>
        </is>
      </c>
      <c r="E817" s="128" t="n">
        <v>1</v>
      </c>
      <c r="F817" s="128" t="inlineStr">
        <is>
          <t>Information Systems Research; MIS Quarterly; Journal of Management Information Systems; Decision Support Systems</t>
        </is>
      </c>
    </row>
    <row r="818" ht="37.5" customHeight="1" s="91">
      <c r="A818" s="127" t="n">
        <v>30</v>
      </c>
      <c r="B818" s="127" t="inlineStr">
        <is>
          <t>GT Scheller</t>
        </is>
      </c>
      <c r="C818" s="127" t="inlineStr">
        <is>
          <t>Law &amp; Ethics</t>
        </is>
      </c>
      <c r="D818" s="127" t="inlineStr">
        <is>
          <t>Theory</t>
        </is>
      </c>
      <c r="E818" s="127" t="n">
        <v>2</v>
      </c>
      <c r="F818" s="127" t="inlineStr">
        <is>
          <t>Management Science; Academy of Management Journal; Journal of Business Research; Strategic Management Journal</t>
        </is>
      </c>
    </row>
    <row r="819" ht="37.5" customHeight="1" s="91">
      <c r="A819" s="128" t="n">
        <v>30</v>
      </c>
      <c r="B819" s="128" t="inlineStr">
        <is>
          <t>GT Scheller</t>
        </is>
      </c>
      <c r="C819" s="128" t="inlineStr">
        <is>
          <t>Law &amp; Ethics</t>
        </is>
      </c>
      <c r="D819" s="128" t="inlineStr">
        <is>
          <t>Empirical Research</t>
        </is>
      </c>
      <c r="E819" s="128" t="n">
        <v>1</v>
      </c>
      <c r="F819" s="128" t="inlineStr">
        <is>
          <t>Management Science; Academy of Management Journal; Journal of Business Research; Strategic Management Journal</t>
        </is>
      </c>
    </row>
    <row r="820" ht="37.5" customHeight="1" s="91">
      <c r="A820" s="127" t="n">
        <v>30</v>
      </c>
      <c r="B820" s="127" t="inlineStr">
        <is>
          <t>GT Scheller</t>
        </is>
      </c>
      <c r="C820" s="127" t="inlineStr">
        <is>
          <t>Law &amp; Ethics</t>
        </is>
      </c>
      <c r="D820" s="127" t="inlineStr">
        <is>
          <t>Applied Research</t>
        </is>
      </c>
      <c r="E820" s="127" t="n">
        <v>1</v>
      </c>
      <c r="F820" s="127" t="inlineStr">
        <is>
          <t>Management Science; Academy of Management Journal; Journal of Business Research; Strategic Management Journal</t>
        </is>
      </c>
    </row>
    <row r="821" ht="37.5" customHeight="1" s="91">
      <c r="A821" s="128" t="n">
        <v>30</v>
      </c>
      <c r="B821" s="128" t="inlineStr">
        <is>
          <t>GT Scheller</t>
        </is>
      </c>
      <c r="C821" s="128" t="inlineStr">
        <is>
          <t>Law &amp; Ethics</t>
        </is>
      </c>
      <c r="D821" s="128" t="inlineStr">
        <is>
          <t>Policy</t>
        </is>
      </c>
      <c r="E821" s="128" t="n">
        <v>1</v>
      </c>
      <c r="F821" s="128" t="inlineStr">
        <is>
          <t>Management Science; Academy of Management Journal; Journal of Business Research; Strategic Management Journal</t>
        </is>
      </c>
    </row>
    <row r="822" ht="37.5" customHeight="1" s="91">
      <c r="A822" s="127" t="n">
        <v>30</v>
      </c>
      <c r="B822" s="127" t="inlineStr">
        <is>
          <t>GT Scheller</t>
        </is>
      </c>
      <c r="C822" s="127" t="inlineStr">
        <is>
          <t>Marketing</t>
        </is>
      </c>
      <c r="D822" s="127" t="inlineStr">
        <is>
          <t>Consumer Behavior</t>
        </is>
      </c>
      <c r="E822" s="127" t="n">
        <v>2</v>
      </c>
      <c r="F822" s="127" t="inlineStr">
        <is>
          <t>Journal of Marketing Research; Journal of Marketing; Marketing Science; Journal of Consumer Research</t>
        </is>
      </c>
    </row>
    <row r="823" ht="37.5" customHeight="1" s="91">
      <c r="A823" s="128" t="n">
        <v>30</v>
      </c>
      <c r="B823" s="128" t="inlineStr">
        <is>
          <t>GT Scheller</t>
        </is>
      </c>
      <c r="C823" s="128" t="inlineStr">
        <is>
          <t>Marketing</t>
        </is>
      </c>
      <c r="D823" s="128" t="inlineStr">
        <is>
          <t>Marketing Analytics</t>
        </is>
      </c>
      <c r="E823" s="128" t="n">
        <v>1</v>
      </c>
      <c r="F823" s="128" t="inlineStr">
        <is>
          <t>Journal of Marketing Research; Journal of Marketing; Marketing Science; Journal of Consumer Research</t>
        </is>
      </c>
    </row>
    <row r="824" ht="37.5" customHeight="1" s="91">
      <c r="A824" s="127" t="n">
        <v>30</v>
      </c>
      <c r="B824" s="127" t="inlineStr">
        <is>
          <t>GT Scheller</t>
        </is>
      </c>
      <c r="C824" s="127" t="inlineStr">
        <is>
          <t>Marketing</t>
        </is>
      </c>
      <c r="D824" s="127" t="inlineStr">
        <is>
          <t>Digital Marketing</t>
        </is>
      </c>
      <c r="E824" s="127" t="n">
        <v>1</v>
      </c>
      <c r="F824" s="127" t="inlineStr">
        <is>
          <t>Journal of Marketing Research; Journal of Marketing; Marketing Science; Journal of Consumer Research</t>
        </is>
      </c>
    </row>
    <row r="825" ht="37.5" customHeight="1" s="91">
      <c r="A825" s="128" t="n">
        <v>30</v>
      </c>
      <c r="B825" s="128" t="inlineStr">
        <is>
          <t>GT Scheller</t>
        </is>
      </c>
      <c r="C825" s="128" t="inlineStr">
        <is>
          <t>Marketing</t>
        </is>
      </c>
      <c r="D825" s="128" t="inlineStr">
        <is>
          <t>Brand Management</t>
        </is>
      </c>
      <c r="E825" s="128" t="n">
        <v>1</v>
      </c>
      <c r="F825" s="128" t="inlineStr">
        <is>
          <t>Journal of Marketing Research; Journal of Marketing; Marketing Science; Journal of Consumer Research</t>
        </is>
      </c>
    </row>
    <row r="826" ht="37.5" customHeight="1" s="91">
      <c r="A826" s="127" t="n">
        <v>30</v>
      </c>
      <c r="B826" s="127" t="inlineStr">
        <is>
          <t>GT Scheller</t>
        </is>
      </c>
      <c r="C826" s="127" t="inlineStr">
        <is>
          <t>Operations Management</t>
        </is>
      </c>
      <c r="D826" s="127" t="inlineStr">
        <is>
          <t>Supply Chain Management</t>
        </is>
      </c>
      <c r="E826" s="127" t="n">
        <v>2</v>
      </c>
      <c r="F826" s="127" t="inlineStr">
        <is>
          <t>Management Science; Operations Research; Manufacturing &amp; Service Operations Management; Production &amp; Operations Management</t>
        </is>
      </c>
    </row>
    <row r="827" ht="37.5" customHeight="1" s="91">
      <c r="A827" s="128" t="n">
        <v>30</v>
      </c>
      <c r="B827" s="128" t="inlineStr">
        <is>
          <t>GT Scheller</t>
        </is>
      </c>
      <c r="C827" s="128" t="inlineStr">
        <is>
          <t>Operations Management</t>
        </is>
      </c>
      <c r="D827" s="128" t="inlineStr">
        <is>
          <t>Operations Research</t>
        </is>
      </c>
      <c r="E827" s="128" t="n">
        <v>1</v>
      </c>
      <c r="F827" s="128" t="inlineStr">
        <is>
          <t>Management Science; Operations Research; Manufacturing &amp; Service Operations Management; Production &amp; Operations Management</t>
        </is>
      </c>
    </row>
    <row r="828" ht="37.5" customHeight="1" s="91">
      <c r="A828" s="127" t="n">
        <v>30</v>
      </c>
      <c r="B828" s="127" t="inlineStr">
        <is>
          <t>GT Scheller</t>
        </is>
      </c>
      <c r="C828" s="127" t="inlineStr">
        <is>
          <t>Operations Management</t>
        </is>
      </c>
      <c r="D828" s="127" t="inlineStr">
        <is>
          <t>Process Optimization</t>
        </is>
      </c>
      <c r="E828" s="127" t="n">
        <v>1</v>
      </c>
      <c r="F828" s="127" t="inlineStr">
        <is>
          <t>Management Science; Operations Research; Manufacturing &amp; Service Operations Management; Production &amp; Operations Management</t>
        </is>
      </c>
    </row>
    <row r="829" ht="37.5" customHeight="1" s="91">
      <c r="A829" s="128" t="n">
        <v>30</v>
      </c>
      <c r="B829" s="128" t="inlineStr">
        <is>
          <t>GT Scheller</t>
        </is>
      </c>
      <c r="C829" s="128" t="inlineStr">
        <is>
          <t>Operations Management</t>
        </is>
      </c>
      <c r="D829" s="128" t="inlineStr">
        <is>
          <t>Analytics</t>
        </is>
      </c>
      <c r="E829" s="128" t="n">
        <v>1</v>
      </c>
      <c r="F829" s="128" t="inlineStr">
        <is>
          <t>Management Science; Operations Research; Manufacturing &amp; Service Operations Management; Production &amp; Operations Management</t>
        </is>
      </c>
    </row>
    <row r="830" ht="37.5" customHeight="1" s="91">
      <c r="A830" s="127" t="n">
        <v>30</v>
      </c>
      <c r="B830" s="127" t="inlineStr">
        <is>
          <t>GT Scheller</t>
        </is>
      </c>
      <c r="C830" s="127" t="inlineStr">
        <is>
          <t>Organizational Behavior</t>
        </is>
      </c>
      <c r="D830" s="127" t="inlineStr">
        <is>
          <t>Organizational Behavior</t>
        </is>
      </c>
      <c r="E830" s="127" t="n">
        <v>1</v>
      </c>
      <c r="F830" s="127" t="inlineStr">
        <is>
          <t>Academy of Management Journal; Organization Science; Administrative Science Quarterly; Journal of Applied Psychology</t>
        </is>
      </c>
    </row>
    <row r="831" ht="37.5" customHeight="1" s="91">
      <c r="A831" s="128" t="n">
        <v>30</v>
      </c>
      <c r="B831" s="128" t="inlineStr">
        <is>
          <t>GT Scheller</t>
        </is>
      </c>
      <c r="C831" s="128" t="inlineStr">
        <is>
          <t>Organizational Behavior</t>
        </is>
      </c>
      <c r="D831" s="128" t="inlineStr">
        <is>
          <t>Human Resources</t>
        </is>
      </c>
      <c r="E831" s="128" t="n">
        <v>1</v>
      </c>
      <c r="F831" s="128" t="inlineStr">
        <is>
          <t>Academy of Management Journal; Organization Science; Administrative Science Quarterly; Journal of Applied Psychology</t>
        </is>
      </c>
    </row>
    <row r="832" ht="37.5" customHeight="1" s="91">
      <c r="A832" s="127" t="n">
        <v>30</v>
      </c>
      <c r="B832" s="127" t="inlineStr">
        <is>
          <t>GT Scheller</t>
        </is>
      </c>
      <c r="C832" s="127" t="inlineStr">
        <is>
          <t>Organizational Behavior</t>
        </is>
      </c>
      <c r="D832" s="127" t="inlineStr">
        <is>
          <t>Leadership &amp; Teams</t>
        </is>
      </c>
      <c r="E832" s="127" t="n">
        <v>1</v>
      </c>
      <c r="F832" s="127" t="inlineStr">
        <is>
          <t>Academy of Management Journal; Organization Science; Administrative Science Quarterly; Journal of Applied Psychology</t>
        </is>
      </c>
    </row>
    <row r="833" ht="37.5" customHeight="1" s="91">
      <c r="A833" s="128" t="n">
        <v>30</v>
      </c>
      <c r="B833" s="128" t="inlineStr">
        <is>
          <t>GT Scheller</t>
        </is>
      </c>
      <c r="C833" s="128" t="inlineStr">
        <is>
          <t>Organizational Behavior</t>
        </is>
      </c>
      <c r="D833" s="128" t="inlineStr">
        <is>
          <t>Diversity &amp; Inclusion</t>
        </is>
      </c>
      <c r="E833" s="128" t="n">
        <v>1</v>
      </c>
      <c r="F833" s="128" t="inlineStr">
        <is>
          <t>Academy of Management Journal; Organization Science; Administrative Science Quarterly; Journal of Applied Psychology</t>
        </is>
      </c>
    </row>
    <row r="834" ht="37.5" customHeight="1" s="91">
      <c r="A834" s="127" t="n">
        <v>30</v>
      </c>
      <c r="B834" s="127" t="inlineStr">
        <is>
          <t>GT Scheller</t>
        </is>
      </c>
      <c r="C834" s="127" t="inlineStr">
        <is>
          <t>Strategy &amp; Innovation</t>
        </is>
      </c>
      <c r="D834" s="127" t="inlineStr">
        <is>
          <t>Competitive Strategy</t>
        </is>
      </c>
      <c r="E834" s="127" t="n">
        <v>1</v>
      </c>
      <c r="F834" s="127" t="inlineStr">
        <is>
          <t>Strategic Management Journal; Academy of Management Review; Organization Science; Journal of Economics &amp; Management Strategy</t>
        </is>
      </c>
    </row>
    <row r="835" ht="37.5" customHeight="1" s="91">
      <c r="A835" s="128" t="n">
        <v>30</v>
      </c>
      <c r="B835" s="128" t="inlineStr">
        <is>
          <t>GT Scheller</t>
        </is>
      </c>
      <c r="C835" s="128" t="inlineStr">
        <is>
          <t>Strategy &amp; Innovation</t>
        </is>
      </c>
      <c r="D835" s="128" t="inlineStr">
        <is>
          <t>Corporate Strategy</t>
        </is>
      </c>
      <c r="E835" s="128" t="n">
        <v>1</v>
      </c>
      <c r="F835" s="128" t="inlineStr">
        <is>
          <t>Strategic Management Journal; Academy of Management Review; Organization Science; Journal of Economics &amp; Management Strategy</t>
        </is>
      </c>
    </row>
    <row r="836" ht="37.5" customHeight="1" s="91">
      <c r="A836" s="127" t="n">
        <v>30</v>
      </c>
      <c r="B836" s="127" t="inlineStr">
        <is>
          <t>GT Scheller</t>
        </is>
      </c>
      <c r="C836" s="127" t="inlineStr">
        <is>
          <t>Strategy &amp; Innovation</t>
        </is>
      </c>
      <c r="D836" s="127" t="inlineStr">
        <is>
          <t>Innovation</t>
        </is>
      </c>
      <c r="E836" s="127" t="n">
        <v>1</v>
      </c>
      <c r="F836" s="127" t="inlineStr">
        <is>
          <t>Strategic Management Journal; Academy of Management Review; Organization Science; Journal of Economics &amp; Management Strategy</t>
        </is>
      </c>
    </row>
    <row r="837" ht="37.5" customHeight="1" s="91">
      <c r="A837" s="128" t="n">
        <v>30</v>
      </c>
      <c r="B837" s="128" t="inlineStr">
        <is>
          <t>GT Scheller</t>
        </is>
      </c>
      <c r="C837" s="128" t="inlineStr">
        <is>
          <t>Strategy &amp; Innovation</t>
        </is>
      </c>
      <c r="D837" s="128" t="inlineStr">
        <is>
          <t>Strategic Management</t>
        </is>
      </c>
      <c r="E837" s="128" t="n">
        <v>1</v>
      </c>
      <c r="F837" s="128" t="inlineStr">
        <is>
          <t>Strategic Management Journal; Academy of Management Review; Organization Science; Journal of Economics &amp; Management Strategy</t>
        </is>
      </c>
    </row>
    <row r="838" ht="37.5" customHeight="1" s="91">
      <c r="A838" s="127" t="n">
        <v>31</v>
      </c>
      <c r="B838" s="127" t="inlineStr">
        <is>
          <t>Penn State Smeal</t>
        </is>
      </c>
      <c r="C838" s="127" t="inlineStr">
        <is>
          <t>Accounting</t>
        </is>
      </c>
      <c r="D838" s="127" t="inlineStr">
        <is>
          <t>Financial Accounting</t>
        </is>
      </c>
      <c r="E838" s="127" t="n">
        <v>2</v>
      </c>
      <c r="F838" s="127" t="inlineStr">
        <is>
          <t>The Accounting Review; Journal of Accounting Research; Journal of Accounting &amp; Economics; Review of Accounting Studies</t>
        </is>
      </c>
    </row>
    <row r="839" ht="37.5" customHeight="1" s="91">
      <c r="A839" s="128" t="n">
        <v>31</v>
      </c>
      <c r="B839" s="128" t="inlineStr">
        <is>
          <t>Penn State Smeal</t>
        </is>
      </c>
      <c r="C839" s="128" t="inlineStr">
        <is>
          <t>Accounting</t>
        </is>
      </c>
      <c r="D839" s="128" t="inlineStr">
        <is>
          <t>Managerial Accounting</t>
        </is>
      </c>
      <c r="E839" s="128" t="n">
        <v>2</v>
      </c>
      <c r="F839" s="128" t="inlineStr">
        <is>
          <t>The Accounting Review; Journal of Accounting Research; Journal of Accounting &amp; Economics; Review of Accounting Studies</t>
        </is>
      </c>
    </row>
    <row r="840" ht="37.5" customHeight="1" s="91">
      <c r="A840" s="127" t="n">
        <v>31</v>
      </c>
      <c r="B840" s="127" t="inlineStr">
        <is>
          <t>Penn State Smeal</t>
        </is>
      </c>
      <c r="C840" s="127" t="inlineStr">
        <is>
          <t>Accounting</t>
        </is>
      </c>
      <c r="D840" s="127" t="inlineStr">
        <is>
          <t>Auditing &amp; Assurance</t>
        </is>
      </c>
      <c r="E840" s="127" t="n">
        <v>1</v>
      </c>
      <c r="F840" s="127" t="inlineStr">
        <is>
          <t>The Accounting Review; Journal of Accounting Research; Journal of Accounting &amp; Economics; Review of Accounting Studies</t>
        </is>
      </c>
    </row>
    <row r="841" ht="37.5" customHeight="1" s="91">
      <c r="A841" s="128" t="n">
        <v>31</v>
      </c>
      <c r="B841" s="128" t="inlineStr">
        <is>
          <t>Penn State Smeal</t>
        </is>
      </c>
      <c r="C841" s="128" t="inlineStr">
        <is>
          <t>Accounting</t>
        </is>
      </c>
      <c r="D841" s="128" t="inlineStr">
        <is>
          <t>Tax</t>
        </is>
      </c>
      <c r="E841" s="128" t="n">
        <v>1</v>
      </c>
      <c r="F841" s="128" t="inlineStr">
        <is>
          <t>The Accounting Review; Journal of Accounting Research; Journal of Accounting &amp; Economics; Review of Accounting Studies</t>
        </is>
      </c>
    </row>
    <row r="842" ht="37.5" customHeight="1" s="91">
      <c r="A842" s="127" t="n">
        <v>31</v>
      </c>
      <c r="B842" s="127" t="inlineStr">
        <is>
          <t>Penn State Smeal</t>
        </is>
      </c>
      <c r="C842" s="127" t="inlineStr">
        <is>
          <t>Finance</t>
        </is>
      </c>
      <c r="D842" s="127" t="inlineStr">
        <is>
          <t>Corporate Finance</t>
        </is>
      </c>
      <c r="E842" s="127" t="n">
        <v>2</v>
      </c>
      <c r="F842" s="127" t="inlineStr">
        <is>
          <t>Journal of Finance; Review of Financial Studies; Journal of Financial Economics; Journal of Financial &amp; Quantitative Analysis</t>
        </is>
      </c>
    </row>
    <row r="843" ht="37.5" customHeight="1" s="91">
      <c r="A843" s="128" t="n">
        <v>31</v>
      </c>
      <c r="B843" s="128" t="inlineStr">
        <is>
          <t>Penn State Smeal</t>
        </is>
      </c>
      <c r="C843" s="128" t="inlineStr">
        <is>
          <t>Finance</t>
        </is>
      </c>
      <c r="D843" s="128" t="inlineStr">
        <is>
          <t>Asset Pricing</t>
        </is>
      </c>
      <c r="E843" s="128" t="n">
        <v>2</v>
      </c>
      <c r="F843" s="128" t="inlineStr">
        <is>
          <t>Journal of Finance; Review of Financial Studies; Journal of Financial Economics; Journal of Financial &amp; Quantitative Analysis</t>
        </is>
      </c>
    </row>
    <row r="844" ht="37.5" customHeight="1" s="91">
      <c r="A844" s="127" t="n">
        <v>31</v>
      </c>
      <c r="B844" s="127" t="inlineStr">
        <is>
          <t>Penn State Smeal</t>
        </is>
      </c>
      <c r="C844" s="127" t="inlineStr">
        <is>
          <t>Finance</t>
        </is>
      </c>
      <c r="D844" s="127" t="inlineStr">
        <is>
          <t>Banking &amp; Financial Institutions</t>
        </is>
      </c>
      <c r="E844" s="127" t="n">
        <v>2</v>
      </c>
      <c r="F844" s="127" t="inlineStr">
        <is>
          <t>Journal of Finance; Review of Financial Studies; Journal of Financial Economics; Journal of Financial &amp; Quantitative Analysis</t>
        </is>
      </c>
    </row>
    <row r="845" ht="37.5" customHeight="1" s="91">
      <c r="A845" s="128" t="n">
        <v>31</v>
      </c>
      <c r="B845" s="128" t="inlineStr">
        <is>
          <t>Penn State Smeal</t>
        </is>
      </c>
      <c r="C845" s="128" t="inlineStr">
        <is>
          <t>Finance</t>
        </is>
      </c>
      <c r="D845" s="128" t="inlineStr">
        <is>
          <t>International Finance</t>
        </is>
      </c>
      <c r="E845" s="128" t="n">
        <v>1</v>
      </c>
      <c r="F845" s="128" t="inlineStr">
        <is>
          <t>Journal of Finance; Review of Financial Studies; Journal of Financial Economics; Journal of Financial &amp; Quantitative Analysis</t>
        </is>
      </c>
    </row>
    <row r="846" ht="37.5" customHeight="1" s="91">
      <c r="A846" s="127" t="n">
        <v>31</v>
      </c>
      <c r="B846" s="127" t="inlineStr">
        <is>
          <t>Penn State Smeal</t>
        </is>
      </c>
      <c r="C846" s="127" t="inlineStr">
        <is>
          <t>Management &amp; Organization</t>
        </is>
      </c>
      <c r="D846" s="127" t="inlineStr">
        <is>
          <t>Organizational Behavior</t>
        </is>
      </c>
      <c r="E846" s="127" t="n">
        <v>2</v>
      </c>
      <c r="F846" s="127" t="inlineStr">
        <is>
          <t>Academy of Management Journal; Organization Science; Administrative Science Quarterly; Journal of Applied Psychology</t>
        </is>
      </c>
    </row>
    <row r="847" ht="37.5" customHeight="1" s="91">
      <c r="A847" s="128" t="n">
        <v>31</v>
      </c>
      <c r="B847" s="128" t="inlineStr">
        <is>
          <t>Penn State Smeal</t>
        </is>
      </c>
      <c r="C847" s="128" t="inlineStr">
        <is>
          <t>Management &amp; Organization</t>
        </is>
      </c>
      <c r="D847" s="128" t="inlineStr">
        <is>
          <t>Human Resources</t>
        </is>
      </c>
      <c r="E847" s="128" t="n">
        <v>2</v>
      </c>
      <c r="F847" s="128" t="inlineStr">
        <is>
          <t>Academy of Management Journal; Organization Science; Administrative Science Quarterly; Journal of Applied Psychology</t>
        </is>
      </c>
    </row>
    <row r="848" ht="37.5" customHeight="1" s="91">
      <c r="A848" s="127" t="n">
        <v>31</v>
      </c>
      <c r="B848" s="127" t="inlineStr">
        <is>
          <t>Penn State Smeal</t>
        </is>
      </c>
      <c r="C848" s="127" t="inlineStr">
        <is>
          <t>Management &amp; Organization</t>
        </is>
      </c>
      <c r="D848" s="127" t="inlineStr">
        <is>
          <t>Leadership &amp; Teams</t>
        </is>
      </c>
      <c r="E848" s="127" t="n">
        <v>1</v>
      </c>
      <c r="F848" s="127" t="inlineStr">
        <is>
          <t>Academy of Management Journal; Organization Science; Administrative Science Quarterly; Journal of Applied Psychology</t>
        </is>
      </c>
    </row>
    <row r="849" ht="37.5" customHeight="1" s="91">
      <c r="A849" s="128" t="n">
        <v>31</v>
      </c>
      <c r="B849" s="128" t="inlineStr">
        <is>
          <t>Penn State Smeal</t>
        </is>
      </c>
      <c r="C849" s="128" t="inlineStr">
        <is>
          <t>Management &amp; Organization</t>
        </is>
      </c>
      <c r="D849" s="128" t="inlineStr">
        <is>
          <t>Diversity &amp; Inclusion</t>
        </is>
      </c>
      <c r="E849" s="128" t="n">
        <v>1</v>
      </c>
      <c r="F849" s="128" t="inlineStr">
        <is>
          <t>Academy of Management Journal; Organization Science; Administrative Science Quarterly; Journal of Applied Psychology</t>
        </is>
      </c>
    </row>
    <row r="850" ht="37.5" customHeight="1" s="91">
      <c r="A850" s="127" t="n">
        <v>31</v>
      </c>
      <c r="B850" s="127" t="inlineStr">
        <is>
          <t>Penn State Smeal</t>
        </is>
      </c>
      <c r="C850" s="127" t="inlineStr">
        <is>
          <t>Marketing</t>
        </is>
      </c>
      <c r="D850" s="127" t="inlineStr">
        <is>
          <t>Consumer Behavior</t>
        </is>
      </c>
      <c r="E850" s="127" t="n">
        <v>2</v>
      </c>
      <c r="F850" s="127" t="inlineStr">
        <is>
          <t>Journal of Marketing Research; Journal of Marketing; Marketing Science; Journal of Consumer Research</t>
        </is>
      </c>
    </row>
    <row r="851" ht="37.5" customHeight="1" s="91">
      <c r="A851" s="128" t="n">
        <v>31</v>
      </c>
      <c r="B851" s="128" t="inlineStr">
        <is>
          <t>Penn State Smeal</t>
        </is>
      </c>
      <c r="C851" s="128" t="inlineStr">
        <is>
          <t>Marketing</t>
        </is>
      </c>
      <c r="D851" s="128" t="inlineStr">
        <is>
          <t>Marketing Analytics</t>
        </is>
      </c>
      <c r="E851" s="128" t="n">
        <v>2</v>
      </c>
      <c r="F851" s="128" t="inlineStr">
        <is>
          <t>Journal of Marketing Research; Journal of Marketing; Marketing Science; Journal of Consumer Research</t>
        </is>
      </c>
    </row>
    <row r="852" ht="37.5" customHeight="1" s="91">
      <c r="A852" s="127" t="n">
        <v>31</v>
      </c>
      <c r="B852" s="127" t="inlineStr">
        <is>
          <t>Penn State Smeal</t>
        </is>
      </c>
      <c r="C852" s="127" t="inlineStr">
        <is>
          <t>Marketing</t>
        </is>
      </c>
      <c r="D852" s="127" t="inlineStr">
        <is>
          <t>Digital Marketing</t>
        </is>
      </c>
      <c r="E852" s="127" t="n">
        <v>1</v>
      </c>
      <c r="F852" s="127" t="inlineStr">
        <is>
          <t>Journal of Marketing Research; Journal of Marketing; Marketing Science; Journal of Consumer Research</t>
        </is>
      </c>
    </row>
    <row r="853" ht="37.5" customHeight="1" s="91">
      <c r="A853" s="128" t="n">
        <v>31</v>
      </c>
      <c r="B853" s="128" t="inlineStr">
        <is>
          <t>Penn State Smeal</t>
        </is>
      </c>
      <c r="C853" s="128" t="inlineStr">
        <is>
          <t>Marketing</t>
        </is>
      </c>
      <c r="D853" s="128" t="inlineStr">
        <is>
          <t>Brand Management</t>
        </is>
      </c>
      <c r="E853" s="128" t="n">
        <v>1</v>
      </c>
      <c r="F853" s="128" t="inlineStr">
        <is>
          <t>Journal of Marketing Research; Journal of Marketing; Marketing Science; Journal of Consumer Research</t>
        </is>
      </c>
    </row>
    <row r="854" ht="37.5" customHeight="1" s="91">
      <c r="A854" s="127" t="n">
        <v>31</v>
      </c>
      <c r="B854" s="127" t="inlineStr">
        <is>
          <t>Penn State Smeal</t>
        </is>
      </c>
      <c r="C854" s="127" t="inlineStr">
        <is>
          <t>Risk Management</t>
        </is>
      </c>
      <c r="D854" s="127" t="inlineStr">
        <is>
          <t>Strategic Management</t>
        </is>
      </c>
      <c r="E854" s="127" t="n">
        <v>2</v>
      </c>
      <c r="F854" s="127" t="inlineStr">
        <is>
          <t>Academy of Management Review; Academy of Management Journal; Administrative Science Quarterly; Strategic Management Journal</t>
        </is>
      </c>
    </row>
    <row r="855" ht="37.5" customHeight="1" s="91">
      <c r="A855" s="128" t="n">
        <v>31</v>
      </c>
      <c r="B855" s="128" t="inlineStr">
        <is>
          <t>Penn State Smeal</t>
        </is>
      </c>
      <c r="C855" s="128" t="inlineStr">
        <is>
          <t>Risk Management</t>
        </is>
      </c>
      <c r="D855" s="128" t="inlineStr">
        <is>
          <t>Organizational Theory</t>
        </is>
      </c>
      <c r="E855" s="128" t="n">
        <v>2</v>
      </c>
      <c r="F855" s="128" t="inlineStr">
        <is>
          <t>Academy of Management Review; Academy of Management Journal; Administrative Science Quarterly; Strategic Management Journal</t>
        </is>
      </c>
    </row>
    <row r="856" ht="37.5" customHeight="1" s="91">
      <c r="A856" s="127" t="n">
        <v>31</v>
      </c>
      <c r="B856" s="127" t="inlineStr">
        <is>
          <t>Penn State Smeal</t>
        </is>
      </c>
      <c r="C856" s="127" t="inlineStr">
        <is>
          <t>Risk Management</t>
        </is>
      </c>
      <c r="D856" s="127" t="inlineStr">
        <is>
          <t>Leadership</t>
        </is>
      </c>
      <c r="E856" s="127" t="n">
        <v>1</v>
      </c>
      <c r="F856" s="127" t="inlineStr">
        <is>
          <t>Academy of Management Review; Academy of Management Journal; Administrative Science Quarterly; Strategic Management Journal</t>
        </is>
      </c>
    </row>
    <row r="857" ht="37.5" customHeight="1" s="91">
      <c r="A857" s="128" t="n">
        <v>31</v>
      </c>
      <c r="B857" s="128" t="inlineStr">
        <is>
          <t>Penn State Smeal</t>
        </is>
      </c>
      <c r="C857" s="128" t="inlineStr">
        <is>
          <t>Risk Management</t>
        </is>
      </c>
      <c r="D857" s="128" t="inlineStr">
        <is>
          <t>Entrepreneurship</t>
        </is>
      </c>
      <c r="E857" s="128" t="n">
        <v>1</v>
      </c>
      <c r="F857" s="128" t="inlineStr">
        <is>
          <t>Academy of Management Review; Academy of Management Journal; Administrative Science Quarterly; Strategic Management Journal</t>
        </is>
      </c>
    </row>
    <row r="858" ht="37.5" customHeight="1" s="91">
      <c r="A858" s="127" t="n">
        <v>31</v>
      </c>
      <c r="B858" s="127" t="inlineStr">
        <is>
          <t>Penn State Smeal</t>
        </is>
      </c>
      <c r="C858" s="127" t="inlineStr">
        <is>
          <t>Supply Chain &amp; Information Systems</t>
        </is>
      </c>
      <c r="D858" s="127" t="inlineStr">
        <is>
          <t>Supply Chain Management</t>
        </is>
      </c>
      <c r="E858" s="127" t="n">
        <v>2</v>
      </c>
      <c r="F858" s="127" t="inlineStr">
        <is>
          <t>Management Science; Operations Research; Manufacturing &amp; Service Operations Management; Production &amp; Operations Management</t>
        </is>
      </c>
    </row>
    <row r="859" ht="37.5" customHeight="1" s="91">
      <c r="A859" s="128" t="n">
        <v>31</v>
      </c>
      <c r="B859" s="128" t="inlineStr">
        <is>
          <t>Penn State Smeal</t>
        </is>
      </c>
      <c r="C859" s="128" t="inlineStr">
        <is>
          <t>Supply Chain &amp; Information Systems</t>
        </is>
      </c>
      <c r="D859" s="128" t="inlineStr">
        <is>
          <t>Operations Research</t>
        </is>
      </c>
      <c r="E859" s="128" t="n">
        <v>2</v>
      </c>
      <c r="F859" s="128" t="inlineStr">
        <is>
          <t>Management Science; Operations Research; Manufacturing &amp; Service Operations Management; Production &amp; Operations Management</t>
        </is>
      </c>
    </row>
    <row r="860" ht="37.5" customHeight="1" s="91">
      <c r="A860" s="127" t="n">
        <v>31</v>
      </c>
      <c r="B860" s="127" t="inlineStr">
        <is>
          <t>Penn State Smeal</t>
        </is>
      </c>
      <c r="C860" s="127" t="inlineStr">
        <is>
          <t>Supply Chain &amp; Information Systems</t>
        </is>
      </c>
      <c r="D860" s="127" t="inlineStr">
        <is>
          <t>Process Optimization</t>
        </is>
      </c>
      <c r="E860" s="127" t="n">
        <v>1</v>
      </c>
      <c r="F860" s="127" t="inlineStr">
        <is>
          <t>Management Science; Operations Research; Manufacturing &amp; Service Operations Management; Production &amp; Operations Management</t>
        </is>
      </c>
    </row>
    <row r="861" ht="37.5" customHeight="1" s="91">
      <c r="A861" s="128" t="n">
        <v>31</v>
      </c>
      <c r="B861" s="128" t="inlineStr">
        <is>
          <t>Penn State Smeal</t>
        </is>
      </c>
      <c r="C861" s="128" t="inlineStr">
        <is>
          <t>Supply Chain &amp; Information Systems</t>
        </is>
      </c>
      <c r="D861" s="128" t="inlineStr">
        <is>
          <t>Analytics</t>
        </is>
      </c>
      <c r="E861" s="128" t="n">
        <v>1</v>
      </c>
      <c r="F861" s="128" t="inlineStr">
        <is>
          <t>Management Science; Operations Research; Manufacturing &amp; Service Operations Management; Production &amp; Operations Management</t>
        </is>
      </c>
    </row>
    <row r="862" ht="37.5" customHeight="1" s="91">
      <c r="A862" s="127" t="n">
        <v>32</v>
      </c>
      <c r="B862" s="127" t="inlineStr">
        <is>
          <t>Texas A&amp;M Mays</t>
        </is>
      </c>
      <c r="C862" s="127" t="inlineStr">
        <is>
          <t>Accounting</t>
        </is>
      </c>
      <c r="D862" s="127" t="inlineStr">
        <is>
          <t>Financial Accounting</t>
        </is>
      </c>
      <c r="E862" s="127" t="n">
        <v>3</v>
      </c>
      <c r="F862" s="127" t="inlineStr">
        <is>
          <t>The Accounting Review; Journal of Accounting Research; Journal of Accounting &amp; Economics; Review of Accounting Studies</t>
        </is>
      </c>
    </row>
    <row r="863" ht="37.5" customHeight="1" s="91">
      <c r="A863" s="128" t="n">
        <v>32</v>
      </c>
      <c r="B863" s="128" t="inlineStr">
        <is>
          <t>Texas A&amp;M Mays</t>
        </is>
      </c>
      <c r="C863" s="128" t="inlineStr">
        <is>
          <t>Accounting</t>
        </is>
      </c>
      <c r="D863" s="128" t="inlineStr">
        <is>
          <t>Managerial Accounting</t>
        </is>
      </c>
      <c r="E863" s="128" t="n">
        <v>2</v>
      </c>
      <c r="F863" s="128" t="inlineStr">
        <is>
          <t>The Accounting Review; Journal of Accounting Research; Journal of Accounting &amp; Economics; Review of Accounting Studies</t>
        </is>
      </c>
    </row>
    <row r="864" ht="37.5" customHeight="1" s="91">
      <c r="A864" s="127" t="n">
        <v>32</v>
      </c>
      <c r="B864" s="127" t="inlineStr">
        <is>
          <t>Texas A&amp;M Mays</t>
        </is>
      </c>
      <c r="C864" s="127" t="inlineStr">
        <is>
          <t>Accounting</t>
        </is>
      </c>
      <c r="D864" s="127" t="inlineStr">
        <is>
          <t>Auditing &amp; Assurance</t>
        </is>
      </c>
      <c r="E864" s="127" t="n">
        <v>2</v>
      </c>
      <c r="F864" s="127" t="inlineStr">
        <is>
          <t>The Accounting Review; Journal of Accounting Research; Journal of Accounting &amp; Economics; Review of Accounting Studies</t>
        </is>
      </c>
    </row>
    <row r="865" ht="37.5" customHeight="1" s="91">
      <c r="A865" s="128" t="n">
        <v>32</v>
      </c>
      <c r="B865" s="128" t="inlineStr">
        <is>
          <t>Texas A&amp;M Mays</t>
        </is>
      </c>
      <c r="C865" s="128" t="inlineStr">
        <is>
          <t>Accounting</t>
        </is>
      </c>
      <c r="D865" s="128" t="inlineStr">
        <is>
          <t>Tax</t>
        </is>
      </c>
      <c r="E865" s="128" t="n">
        <v>2</v>
      </c>
      <c r="F865" s="128" t="inlineStr">
        <is>
          <t>The Accounting Review; Journal of Accounting Research; Journal of Accounting &amp; Economics; Review of Accounting Studies</t>
        </is>
      </c>
    </row>
    <row r="866" ht="37.5" customHeight="1" s="91">
      <c r="A866" s="127" t="n">
        <v>32</v>
      </c>
      <c r="B866" s="127" t="inlineStr">
        <is>
          <t>Texas A&amp;M Mays</t>
        </is>
      </c>
      <c r="C866" s="127" t="inlineStr">
        <is>
          <t>Finance</t>
        </is>
      </c>
      <c r="D866" s="127" t="inlineStr">
        <is>
          <t>Corporate Finance</t>
        </is>
      </c>
      <c r="E866" s="127" t="n">
        <v>3</v>
      </c>
      <c r="F866" s="127" t="inlineStr">
        <is>
          <t>Journal of Finance; Review of Financial Studies; Journal of Financial Economics; Journal of Financial &amp; Quantitative Analysis</t>
        </is>
      </c>
    </row>
    <row r="867" ht="37.5" customHeight="1" s="91">
      <c r="A867" s="128" t="n">
        <v>32</v>
      </c>
      <c r="B867" s="128" t="inlineStr">
        <is>
          <t>Texas A&amp;M Mays</t>
        </is>
      </c>
      <c r="C867" s="128" t="inlineStr">
        <is>
          <t>Finance</t>
        </is>
      </c>
      <c r="D867" s="128" t="inlineStr">
        <is>
          <t>Asset Pricing</t>
        </is>
      </c>
      <c r="E867" s="128" t="n">
        <v>3</v>
      </c>
      <c r="F867" s="128" t="inlineStr">
        <is>
          <t>Journal of Finance; Review of Financial Studies; Journal of Financial Economics; Journal of Financial &amp; Quantitative Analysis</t>
        </is>
      </c>
    </row>
    <row r="868" ht="37.5" customHeight="1" s="91">
      <c r="A868" s="127" t="n">
        <v>32</v>
      </c>
      <c r="B868" s="127" t="inlineStr">
        <is>
          <t>Texas A&amp;M Mays</t>
        </is>
      </c>
      <c r="C868" s="127" t="inlineStr">
        <is>
          <t>Finance</t>
        </is>
      </c>
      <c r="D868" s="127" t="inlineStr">
        <is>
          <t>Banking &amp; Financial Institutions</t>
        </is>
      </c>
      <c r="E868" s="127" t="n">
        <v>3</v>
      </c>
      <c r="F868" s="127" t="inlineStr">
        <is>
          <t>Journal of Finance; Review of Financial Studies; Journal of Financial Economics; Journal of Financial &amp; Quantitative Analysis</t>
        </is>
      </c>
    </row>
    <row r="869" ht="37.5" customHeight="1" s="91">
      <c r="A869" s="128" t="n">
        <v>32</v>
      </c>
      <c r="B869" s="128" t="inlineStr">
        <is>
          <t>Texas A&amp;M Mays</t>
        </is>
      </c>
      <c r="C869" s="128" t="inlineStr">
        <is>
          <t>Finance</t>
        </is>
      </c>
      <c r="D869" s="128" t="inlineStr">
        <is>
          <t>International Finance</t>
        </is>
      </c>
      <c r="E869" s="128" t="n">
        <v>2</v>
      </c>
      <c r="F869" s="128" t="inlineStr">
        <is>
          <t>Journal of Finance; Review of Financial Studies; Journal of Financial Economics; Journal of Financial &amp; Quantitative Analysis</t>
        </is>
      </c>
    </row>
    <row r="870" ht="37.5" customHeight="1" s="91">
      <c r="A870" s="127" t="n">
        <v>32</v>
      </c>
      <c r="B870" s="127" t="inlineStr">
        <is>
          <t>Texas A&amp;M Mays</t>
        </is>
      </c>
      <c r="C870" s="127" t="inlineStr">
        <is>
          <t>Information &amp; Operations Management</t>
        </is>
      </c>
      <c r="D870" s="127" t="inlineStr">
        <is>
          <t>Supply Chain Management</t>
        </is>
      </c>
      <c r="E870" s="127" t="n">
        <v>3</v>
      </c>
      <c r="F870" s="127" t="inlineStr">
        <is>
          <t>Management Science; Operations Research; Manufacturing &amp; Service Operations Management; Production &amp; Operations Management</t>
        </is>
      </c>
    </row>
    <row r="871" ht="37.5" customHeight="1" s="91">
      <c r="A871" s="128" t="n">
        <v>32</v>
      </c>
      <c r="B871" s="128" t="inlineStr">
        <is>
          <t>Texas A&amp;M Mays</t>
        </is>
      </c>
      <c r="C871" s="128" t="inlineStr">
        <is>
          <t>Information &amp; Operations Management</t>
        </is>
      </c>
      <c r="D871" s="128" t="inlineStr">
        <is>
          <t>Operations Research</t>
        </is>
      </c>
      <c r="E871" s="128" t="n">
        <v>2</v>
      </c>
      <c r="F871" s="128" t="inlineStr">
        <is>
          <t>Management Science; Operations Research; Manufacturing &amp; Service Operations Management; Production &amp; Operations Management</t>
        </is>
      </c>
    </row>
    <row r="872" ht="37.5" customHeight="1" s="91">
      <c r="A872" s="127" t="n">
        <v>32</v>
      </c>
      <c r="B872" s="127" t="inlineStr">
        <is>
          <t>Texas A&amp;M Mays</t>
        </is>
      </c>
      <c r="C872" s="127" t="inlineStr">
        <is>
          <t>Information &amp; Operations Management</t>
        </is>
      </c>
      <c r="D872" s="127" t="inlineStr">
        <is>
          <t>Process Optimization</t>
        </is>
      </c>
      <c r="E872" s="127" t="n">
        <v>2</v>
      </c>
      <c r="F872" s="127" t="inlineStr">
        <is>
          <t>Management Science; Operations Research; Manufacturing &amp; Service Operations Management; Production &amp; Operations Management</t>
        </is>
      </c>
    </row>
    <row r="873" ht="37.5" customHeight="1" s="91">
      <c r="A873" s="128" t="n">
        <v>32</v>
      </c>
      <c r="B873" s="128" t="inlineStr">
        <is>
          <t>Texas A&amp;M Mays</t>
        </is>
      </c>
      <c r="C873" s="128" t="inlineStr">
        <is>
          <t>Information &amp; Operations Management</t>
        </is>
      </c>
      <c r="D873" s="128" t="inlineStr">
        <is>
          <t>Analytics</t>
        </is>
      </c>
      <c r="E873" s="128" t="n">
        <v>2</v>
      </c>
      <c r="F873" s="128" t="inlineStr">
        <is>
          <t>Management Science; Operations Research; Manufacturing &amp; Service Operations Management; Production &amp; Operations Management</t>
        </is>
      </c>
    </row>
    <row r="874" ht="37.5" customHeight="1" s="91">
      <c r="A874" s="127" t="n">
        <v>32</v>
      </c>
      <c r="B874" s="127" t="inlineStr">
        <is>
          <t>Texas A&amp;M Mays</t>
        </is>
      </c>
      <c r="C874" s="127" t="inlineStr">
        <is>
          <t>Management</t>
        </is>
      </c>
      <c r="D874" s="127" t="inlineStr">
        <is>
          <t>Strategic Management</t>
        </is>
      </c>
      <c r="E874" s="127" t="n">
        <v>3</v>
      </c>
      <c r="F874" s="127" t="inlineStr">
        <is>
          <t>Academy of Management Review; Academy of Management Journal; Administrative Science Quarterly; Strategic Management Journal</t>
        </is>
      </c>
    </row>
    <row r="875" ht="37.5" customHeight="1" s="91">
      <c r="A875" s="128" t="n">
        <v>32</v>
      </c>
      <c r="B875" s="128" t="inlineStr">
        <is>
          <t>Texas A&amp;M Mays</t>
        </is>
      </c>
      <c r="C875" s="128" t="inlineStr">
        <is>
          <t>Management</t>
        </is>
      </c>
      <c r="D875" s="128" t="inlineStr">
        <is>
          <t>Organizational Theory</t>
        </is>
      </c>
      <c r="E875" s="128" t="n">
        <v>2</v>
      </c>
      <c r="F875" s="128" t="inlineStr">
        <is>
          <t>Academy of Management Review; Academy of Management Journal; Administrative Science Quarterly; Strategic Management Journal</t>
        </is>
      </c>
    </row>
    <row r="876" ht="37.5" customHeight="1" s="91">
      <c r="A876" s="127" t="n">
        <v>32</v>
      </c>
      <c r="B876" s="127" t="inlineStr">
        <is>
          <t>Texas A&amp;M Mays</t>
        </is>
      </c>
      <c r="C876" s="127" t="inlineStr">
        <is>
          <t>Management</t>
        </is>
      </c>
      <c r="D876" s="127" t="inlineStr">
        <is>
          <t>Leadership</t>
        </is>
      </c>
      <c r="E876" s="127" t="n">
        <v>2</v>
      </c>
      <c r="F876" s="127" t="inlineStr">
        <is>
          <t>Academy of Management Review; Academy of Management Journal; Administrative Science Quarterly; Strategic Management Journal</t>
        </is>
      </c>
    </row>
    <row r="877" ht="37.5" customHeight="1" s="91">
      <c r="A877" s="128" t="n">
        <v>32</v>
      </c>
      <c r="B877" s="128" t="inlineStr">
        <is>
          <t>Texas A&amp;M Mays</t>
        </is>
      </c>
      <c r="C877" s="128" t="inlineStr">
        <is>
          <t>Management</t>
        </is>
      </c>
      <c r="D877" s="128" t="inlineStr">
        <is>
          <t>Entrepreneurship</t>
        </is>
      </c>
      <c r="E877" s="128" t="n">
        <v>2</v>
      </c>
      <c r="F877" s="128" t="inlineStr">
        <is>
          <t>Academy of Management Review; Academy of Management Journal; Administrative Science Quarterly; Strategic Management Journal</t>
        </is>
      </c>
    </row>
    <row r="878" ht="37.5" customHeight="1" s="91">
      <c r="A878" s="127" t="n">
        <v>32</v>
      </c>
      <c r="B878" s="127" t="inlineStr">
        <is>
          <t>Texas A&amp;M Mays</t>
        </is>
      </c>
      <c r="C878" s="127" t="inlineStr">
        <is>
          <t>Marketing</t>
        </is>
      </c>
      <c r="D878" s="127" t="inlineStr">
        <is>
          <t>Consumer Behavior</t>
        </is>
      </c>
      <c r="E878" s="127" t="n">
        <v>3</v>
      </c>
      <c r="F878" s="127" t="inlineStr">
        <is>
          <t>Journal of Marketing Research; Journal of Marketing; Marketing Science; Journal of Consumer Research</t>
        </is>
      </c>
    </row>
    <row r="879" ht="37.5" customHeight="1" s="91">
      <c r="A879" s="128" t="n">
        <v>32</v>
      </c>
      <c r="B879" s="128" t="inlineStr">
        <is>
          <t>Texas A&amp;M Mays</t>
        </is>
      </c>
      <c r="C879" s="128" t="inlineStr">
        <is>
          <t>Marketing</t>
        </is>
      </c>
      <c r="D879" s="128" t="inlineStr">
        <is>
          <t>Marketing Analytics</t>
        </is>
      </c>
      <c r="E879" s="128" t="n">
        <v>2</v>
      </c>
      <c r="F879" s="128" t="inlineStr">
        <is>
          <t>Journal of Marketing Research; Journal of Marketing; Marketing Science; Journal of Consumer Research</t>
        </is>
      </c>
    </row>
    <row r="880" ht="37.5" customHeight="1" s="91">
      <c r="A880" s="127" t="n">
        <v>32</v>
      </c>
      <c r="B880" s="127" t="inlineStr">
        <is>
          <t>Texas A&amp;M Mays</t>
        </is>
      </c>
      <c r="C880" s="127" t="inlineStr">
        <is>
          <t>Marketing</t>
        </is>
      </c>
      <c r="D880" s="127" t="inlineStr">
        <is>
          <t>Digital Marketing</t>
        </is>
      </c>
      <c r="E880" s="127" t="n">
        <v>2</v>
      </c>
      <c r="F880" s="127" t="inlineStr">
        <is>
          <t>Journal of Marketing Research; Journal of Marketing; Marketing Science; Journal of Consumer Research</t>
        </is>
      </c>
    </row>
    <row r="881" ht="37.5" customHeight="1" s="91">
      <c r="A881" s="128" t="n">
        <v>32</v>
      </c>
      <c r="B881" s="128" t="inlineStr">
        <is>
          <t>Texas A&amp;M Mays</t>
        </is>
      </c>
      <c r="C881" s="128" t="inlineStr">
        <is>
          <t>Marketing</t>
        </is>
      </c>
      <c r="D881" s="128" t="inlineStr">
        <is>
          <t>Brand Management</t>
        </is>
      </c>
      <c r="E881" s="128" t="n">
        <v>2</v>
      </c>
      <c r="F881" s="128" t="inlineStr">
        <is>
          <t>Journal of Marketing Research; Journal of Marketing; Marketing Science; Journal of Consumer Research</t>
        </is>
      </c>
    </row>
    <row r="882" ht="37.5" customHeight="1" s="91">
      <c r="A882" s="127" t="n">
        <v>33</v>
      </c>
      <c r="B882" s="127" t="inlineStr">
        <is>
          <t>Purdue Krannert</t>
        </is>
      </c>
      <c r="C882" s="127" t="inlineStr">
        <is>
          <t>Accounting</t>
        </is>
      </c>
      <c r="D882" s="127" t="inlineStr">
        <is>
          <t>Financial Accounting</t>
        </is>
      </c>
      <c r="E882" s="127" t="n">
        <v>3</v>
      </c>
      <c r="F882" s="127" t="inlineStr">
        <is>
          <t>The Accounting Review; Journal of Accounting Research; Journal of Accounting &amp; Economics; Review of Accounting Studies</t>
        </is>
      </c>
    </row>
    <row r="883" ht="37.5" customHeight="1" s="91">
      <c r="A883" s="128" t="n">
        <v>33</v>
      </c>
      <c r="B883" s="128" t="inlineStr">
        <is>
          <t>Purdue Krannert</t>
        </is>
      </c>
      <c r="C883" s="128" t="inlineStr">
        <is>
          <t>Accounting</t>
        </is>
      </c>
      <c r="D883" s="128" t="inlineStr">
        <is>
          <t>Managerial Accounting</t>
        </is>
      </c>
      <c r="E883" s="128" t="n">
        <v>2</v>
      </c>
      <c r="F883" s="128" t="inlineStr">
        <is>
          <t>The Accounting Review; Journal of Accounting Research; Journal of Accounting &amp; Economics; Review of Accounting Studies</t>
        </is>
      </c>
    </row>
    <row r="884" ht="37.5" customHeight="1" s="91">
      <c r="A884" s="127" t="n">
        <v>33</v>
      </c>
      <c r="B884" s="127" t="inlineStr">
        <is>
          <t>Purdue Krannert</t>
        </is>
      </c>
      <c r="C884" s="127" t="inlineStr">
        <is>
          <t>Accounting</t>
        </is>
      </c>
      <c r="D884" s="127" t="inlineStr">
        <is>
          <t>Auditing &amp; Assurance</t>
        </is>
      </c>
      <c r="E884" s="127" t="n">
        <v>2</v>
      </c>
      <c r="F884" s="127" t="inlineStr">
        <is>
          <t>The Accounting Review; Journal of Accounting Research; Journal of Accounting &amp; Economics; Review of Accounting Studies</t>
        </is>
      </c>
    </row>
    <row r="885" ht="37.5" customHeight="1" s="91">
      <c r="A885" s="128" t="n">
        <v>33</v>
      </c>
      <c r="B885" s="128" t="inlineStr">
        <is>
          <t>Purdue Krannert</t>
        </is>
      </c>
      <c r="C885" s="128" t="inlineStr">
        <is>
          <t>Accounting</t>
        </is>
      </c>
      <c r="D885" s="128" t="inlineStr">
        <is>
          <t>Tax</t>
        </is>
      </c>
      <c r="E885" s="128" t="n">
        <v>2</v>
      </c>
      <c r="F885" s="128" t="inlineStr">
        <is>
          <t>The Accounting Review; Journal of Accounting Research; Journal of Accounting &amp; Economics; Review of Accounting Studies</t>
        </is>
      </c>
    </row>
    <row r="886" ht="37.5" customHeight="1" s="91">
      <c r="A886" s="127" t="n">
        <v>33</v>
      </c>
      <c r="B886" s="127" t="inlineStr">
        <is>
          <t>Purdue Krannert</t>
        </is>
      </c>
      <c r="C886" s="127" t="inlineStr">
        <is>
          <t>Economics</t>
        </is>
      </c>
      <c r="D886" s="127" t="inlineStr">
        <is>
          <t>Microeconomics</t>
        </is>
      </c>
      <c r="E886" s="127" t="n">
        <v>3</v>
      </c>
      <c r="F886" s="127" t="inlineStr">
        <is>
          <t>American Economic Review; Econometrica; Quarterly Journal of Economics; Review of Economic Studies</t>
        </is>
      </c>
    </row>
    <row r="887" ht="37.5" customHeight="1" s="91">
      <c r="A887" s="128" t="n">
        <v>33</v>
      </c>
      <c r="B887" s="128" t="inlineStr">
        <is>
          <t>Purdue Krannert</t>
        </is>
      </c>
      <c r="C887" s="128" t="inlineStr">
        <is>
          <t>Economics</t>
        </is>
      </c>
      <c r="D887" s="128" t="inlineStr">
        <is>
          <t>Macroeconomics</t>
        </is>
      </c>
      <c r="E887" s="128" t="n">
        <v>2</v>
      </c>
      <c r="F887" s="128" t="inlineStr">
        <is>
          <t>American Economic Review; Econometrica; Quarterly Journal of Economics; Review of Economic Studies</t>
        </is>
      </c>
    </row>
    <row r="888" ht="37.5" customHeight="1" s="91">
      <c r="A888" s="127" t="n">
        <v>33</v>
      </c>
      <c r="B888" s="127" t="inlineStr">
        <is>
          <t>Purdue Krannert</t>
        </is>
      </c>
      <c r="C888" s="127" t="inlineStr">
        <is>
          <t>Economics</t>
        </is>
      </c>
      <c r="D888" s="127" t="inlineStr">
        <is>
          <t>Applied Economics</t>
        </is>
      </c>
      <c r="E888" s="127" t="n">
        <v>2</v>
      </c>
      <c r="F888" s="127" t="inlineStr">
        <is>
          <t>American Economic Review; Econometrica; Quarterly Journal of Economics; Review of Economic Studies</t>
        </is>
      </c>
    </row>
    <row r="889" ht="37.5" customHeight="1" s="91">
      <c r="A889" s="128" t="n">
        <v>33</v>
      </c>
      <c r="B889" s="128" t="inlineStr">
        <is>
          <t>Purdue Krannert</t>
        </is>
      </c>
      <c r="C889" s="128" t="inlineStr">
        <is>
          <t>Economics</t>
        </is>
      </c>
      <c r="D889" s="128" t="inlineStr">
        <is>
          <t>Industrial Organization</t>
        </is>
      </c>
      <c r="E889" s="128" t="n">
        <v>2</v>
      </c>
      <c r="F889" s="128" t="inlineStr">
        <is>
          <t>American Economic Review; Econometrica; Quarterly Journal of Economics; Review of Economic Studies</t>
        </is>
      </c>
    </row>
    <row r="890" ht="37.5" customHeight="1" s="91">
      <c r="A890" s="127" t="n">
        <v>33</v>
      </c>
      <c r="B890" s="127" t="inlineStr">
        <is>
          <t>Purdue Krannert</t>
        </is>
      </c>
      <c r="C890" s="127" t="inlineStr">
        <is>
          <t>Finance</t>
        </is>
      </c>
      <c r="D890" s="127" t="inlineStr">
        <is>
          <t>Corporate Finance</t>
        </is>
      </c>
      <c r="E890" s="127" t="n">
        <v>3</v>
      </c>
      <c r="F890" s="127" t="inlineStr">
        <is>
          <t>Journal of Finance; Review of Financial Studies; Journal of Financial Economics; Journal of Financial &amp; Quantitative Analysis</t>
        </is>
      </c>
    </row>
    <row r="891" ht="37.5" customHeight="1" s="91">
      <c r="A891" s="128" t="n">
        <v>33</v>
      </c>
      <c r="B891" s="128" t="inlineStr">
        <is>
          <t>Purdue Krannert</t>
        </is>
      </c>
      <c r="C891" s="128" t="inlineStr">
        <is>
          <t>Finance</t>
        </is>
      </c>
      <c r="D891" s="128" t="inlineStr">
        <is>
          <t>Asset Pricing</t>
        </is>
      </c>
      <c r="E891" s="128" t="n">
        <v>3</v>
      </c>
      <c r="F891" s="128" t="inlineStr">
        <is>
          <t>Journal of Finance; Review of Financial Studies; Journal of Financial Economics; Journal of Financial &amp; Quantitative Analysis</t>
        </is>
      </c>
    </row>
    <row r="892" ht="37.5" customHeight="1" s="91">
      <c r="A892" s="127" t="n">
        <v>33</v>
      </c>
      <c r="B892" s="127" t="inlineStr">
        <is>
          <t>Purdue Krannert</t>
        </is>
      </c>
      <c r="C892" s="127" t="inlineStr">
        <is>
          <t>Finance</t>
        </is>
      </c>
      <c r="D892" s="127" t="inlineStr">
        <is>
          <t>Banking &amp; Financial Institutions</t>
        </is>
      </c>
      <c r="E892" s="127" t="n">
        <v>3</v>
      </c>
      <c r="F892" s="127" t="inlineStr">
        <is>
          <t>Journal of Finance; Review of Financial Studies; Journal of Financial Economics; Journal of Financial &amp; Quantitative Analysis</t>
        </is>
      </c>
    </row>
    <row r="893" ht="37.5" customHeight="1" s="91">
      <c r="A893" s="128" t="n">
        <v>33</v>
      </c>
      <c r="B893" s="128" t="inlineStr">
        <is>
          <t>Purdue Krannert</t>
        </is>
      </c>
      <c r="C893" s="128" t="inlineStr">
        <is>
          <t>Finance</t>
        </is>
      </c>
      <c r="D893" s="128" t="inlineStr">
        <is>
          <t>International Finance</t>
        </is>
      </c>
      <c r="E893" s="128" t="n">
        <v>3</v>
      </c>
      <c r="F893" s="128" t="inlineStr">
        <is>
          <t>Journal of Finance; Review of Financial Studies; Journal of Financial Economics; Journal of Financial &amp; Quantitative Analysis</t>
        </is>
      </c>
    </row>
    <row r="894" ht="37.5" customHeight="1" s="91">
      <c r="A894" s="127" t="n">
        <v>33</v>
      </c>
      <c r="B894" s="127" t="inlineStr">
        <is>
          <t>Purdue Krannert</t>
        </is>
      </c>
      <c r="C894" s="127" t="inlineStr">
        <is>
          <t>Management</t>
        </is>
      </c>
      <c r="D894" s="127" t="inlineStr">
        <is>
          <t>Strategic Management</t>
        </is>
      </c>
      <c r="E894" s="127" t="n">
        <v>3</v>
      </c>
      <c r="F894" s="127" t="inlineStr">
        <is>
          <t>Academy of Management Review; Academy of Management Journal; Administrative Science Quarterly; Strategic Management Journal</t>
        </is>
      </c>
    </row>
    <row r="895" ht="37.5" customHeight="1" s="91">
      <c r="A895" s="128" t="n">
        <v>33</v>
      </c>
      <c r="B895" s="128" t="inlineStr">
        <is>
          <t>Purdue Krannert</t>
        </is>
      </c>
      <c r="C895" s="128" t="inlineStr">
        <is>
          <t>Management</t>
        </is>
      </c>
      <c r="D895" s="128" t="inlineStr">
        <is>
          <t>Organizational Theory</t>
        </is>
      </c>
      <c r="E895" s="128" t="n">
        <v>3</v>
      </c>
      <c r="F895" s="128" t="inlineStr">
        <is>
          <t>Academy of Management Review; Academy of Management Journal; Administrative Science Quarterly; Strategic Management Journal</t>
        </is>
      </c>
    </row>
    <row r="896" ht="37.5" customHeight="1" s="91">
      <c r="A896" s="127" t="n">
        <v>33</v>
      </c>
      <c r="B896" s="127" t="inlineStr">
        <is>
          <t>Purdue Krannert</t>
        </is>
      </c>
      <c r="C896" s="127" t="inlineStr">
        <is>
          <t>Management</t>
        </is>
      </c>
      <c r="D896" s="127" t="inlineStr">
        <is>
          <t>Leadership</t>
        </is>
      </c>
      <c r="E896" s="127" t="n">
        <v>2</v>
      </c>
      <c r="F896" s="127" t="inlineStr">
        <is>
          <t>Academy of Management Review; Academy of Management Journal; Administrative Science Quarterly; Strategic Management Journal</t>
        </is>
      </c>
    </row>
    <row r="897" ht="37.5" customHeight="1" s="91">
      <c r="A897" s="128" t="n">
        <v>33</v>
      </c>
      <c r="B897" s="128" t="inlineStr">
        <is>
          <t>Purdue Krannert</t>
        </is>
      </c>
      <c r="C897" s="128" t="inlineStr">
        <is>
          <t>Management</t>
        </is>
      </c>
      <c r="D897" s="128" t="inlineStr">
        <is>
          <t>Entrepreneurship</t>
        </is>
      </c>
      <c r="E897" s="128" t="n">
        <v>2</v>
      </c>
      <c r="F897" s="128" t="inlineStr">
        <is>
          <t>Academy of Management Review; Academy of Management Journal; Administrative Science Quarterly; Strategic Management Journal</t>
        </is>
      </c>
    </row>
    <row r="898" ht="37.5" customHeight="1" s="91">
      <c r="A898" s="127" t="n">
        <v>33</v>
      </c>
      <c r="B898" s="127" t="inlineStr">
        <is>
          <t>Purdue Krannert</t>
        </is>
      </c>
      <c r="C898" s="127" t="inlineStr">
        <is>
          <t>Marketing</t>
        </is>
      </c>
      <c r="D898" s="127" t="inlineStr">
        <is>
          <t>Consumer Behavior</t>
        </is>
      </c>
      <c r="E898" s="127" t="n">
        <v>3</v>
      </c>
      <c r="F898" s="127" t="inlineStr">
        <is>
          <t>Journal of Marketing Research; Journal of Marketing; Marketing Science; Journal of Consumer Research</t>
        </is>
      </c>
    </row>
    <row r="899" ht="37.5" customHeight="1" s="91">
      <c r="A899" s="128" t="n">
        <v>33</v>
      </c>
      <c r="B899" s="128" t="inlineStr">
        <is>
          <t>Purdue Krannert</t>
        </is>
      </c>
      <c r="C899" s="128" t="inlineStr">
        <is>
          <t>Marketing</t>
        </is>
      </c>
      <c r="D899" s="128" t="inlineStr">
        <is>
          <t>Marketing Analytics</t>
        </is>
      </c>
      <c r="E899" s="128" t="n">
        <v>3</v>
      </c>
      <c r="F899" s="128" t="inlineStr">
        <is>
          <t>Journal of Marketing Research; Journal of Marketing; Marketing Science; Journal of Consumer Research</t>
        </is>
      </c>
    </row>
    <row r="900" ht="37.5" customHeight="1" s="91">
      <c r="A900" s="127" t="n">
        <v>33</v>
      </c>
      <c r="B900" s="127" t="inlineStr">
        <is>
          <t>Purdue Krannert</t>
        </is>
      </c>
      <c r="C900" s="127" t="inlineStr">
        <is>
          <t>Marketing</t>
        </is>
      </c>
      <c r="D900" s="127" t="inlineStr">
        <is>
          <t>Digital Marketing</t>
        </is>
      </c>
      <c r="E900" s="127" t="n">
        <v>3</v>
      </c>
      <c r="F900" s="127" t="inlineStr">
        <is>
          <t>Journal of Marketing Research; Journal of Marketing; Marketing Science; Journal of Consumer Research</t>
        </is>
      </c>
    </row>
    <row r="901" ht="37.5" customHeight="1" s="91">
      <c r="A901" s="128" t="n">
        <v>33</v>
      </c>
      <c r="B901" s="128" t="inlineStr">
        <is>
          <t>Purdue Krannert</t>
        </is>
      </c>
      <c r="C901" s="128" t="inlineStr">
        <is>
          <t>Marketing</t>
        </is>
      </c>
      <c r="D901" s="128" t="inlineStr">
        <is>
          <t>Brand Management</t>
        </is>
      </c>
      <c r="E901" s="128" t="n">
        <v>2</v>
      </c>
      <c r="F901" s="128" t="inlineStr">
        <is>
          <t>Journal of Marketing Research; Journal of Marketing; Marketing Science; Journal of Consumer Research</t>
        </is>
      </c>
    </row>
    <row r="902" ht="37.5" customHeight="1" s="91">
      <c r="A902" s="127" t="n">
        <v>33</v>
      </c>
      <c r="B902" s="127" t="inlineStr">
        <is>
          <t>Purdue Krannert</t>
        </is>
      </c>
      <c r="C902" s="127" t="inlineStr">
        <is>
          <t>Organizational Behavior &amp; Human Resource Management</t>
        </is>
      </c>
      <c r="D902" s="127" t="inlineStr">
        <is>
          <t>Organizational Behavior</t>
        </is>
      </c>
      <c r="E902" s="127" t="n">
        <v>3</v>
      </c>
      <c r="F902" s="127" t="inlineStr">
        <is>
          <t>Academy of Management Journal; Organization Science; Administrative Science Quarterly; Journal of Applied Psychology</t>
        </is>
      </c>
    </row>
    <row r="903" ht="37.5" customHeight="1" s="91">
      <c r="A903" s="128" t="n">
        <v>33</v>
      </c>
      <c r="B903" s="128" t="inlineStr">
        <is>
          <t>Purdue Krannert</t>
        </is>
      </c>
      <c r="C903" s="128" t="inlineStr">
        <is>
          <t>Organizational Behavior &amp; Human Resource Management</t>
        </is>
      </c>
      <c r="D903" s="128" t="inlineStr">
        <is>
          <t>Human Resources</t>
        </is>
      </c>
      <c r="E903" s="128" t="n">
        <v>3</v>
      </c>
      <c r="F903" s="128" t="inlineStr">
        <is>
          <t>Academy of Management Journal; Organization Science; Administrative Science Quarterly; Journal of Applied Psychology</t>
        </is>
      </c>
    </row>
    <row r="904" ht="37.5" customHeight="1" s="91">
      <c r="A904" s="127" t="n">
        <v>33</v>
      </c>
      <c r="B904" s="127" t="inlineStr">
        <is>
          <t>Purdue Krannert</t>
        </is>
      </c>
      <c r="C904" s="127" t="inlineStr">
        <is>
          <t>Organizational Behavior &amp; Human Resource Management</t>
        </is>
      </c>
      <c r="D904" s="127" t="inlineStr">
        <is>
          <t>Leadership &amp; Teams</t>
        </is>
      </c>
      <c r="E904" s="127" t="n">
        <v>2</v>
      </c>
      <c r="F904" s="127" t="inlineStr">
        <is>
          <t>Academy of Management Journal; Organization Science; Administrative Science Quarterly; Journal of Applied Psychology</t>
        </is>
      </c>
    </row>
    <row r="905" ht="37.5" customHeight="1" s="91">
      <c r="A905" s="128" t="n">
        <v>33</v>
      </c>
      <c r="B905" s="128" t="inlineStr">
        <is>
          <t>Purdue Krannert</t>
        </is>
      </c>
      <c r="C905" s="128" t="inlineStr">
        <is>
          <t>Organizational Behavior &amp; Human Resource Management</t>
        </is>
      </c>
      <c r="D905" s="128" t="inlineStr">
        <is>
          <t>Diversity &amp; Inclusion</t>
        </is>
      </c>
      <c r="E905" s="128" t="n">
        <v>2</v>
      </c>
      <c r="F905" s="128" t="inlineStr">
        <is>
          <t>Academy of Management Journal; Organization Science; Administrative Science Quarterly; Journal of Applied Psychology</t>
        </is>
      </c>
    </row>
    <row r="906" ht="37.5" customHeight="1" s="91">
      <c r="A906" s="127" t="n">
        <v>33</v>
      </c>
      <c r="B906" s="127" t="inlineStr">
        <is>
          <t>Purdue Krannert</t>
        </is>
      </c>
      <c r="C906" s="127" t="inlineStr">
        <is>
          <t>Quantitative Methods</t>
        </is>
      </c>
      <c r="D906" s="127" t="inlineStr">
        <is>
          <t>Theory</t>
        </is>
      </c>
      <c r="E906" s="127" t="n">
        <v>3</v>
      </c>
      <c r="F906" s="127" t="inlineStr">
        <is>
          <t>Management Science; Academy of Management Journal; Journal of Business Research; Strategic Management Journal</t>
        </is>
      </c>
    </row>
    <row r="907" ht="37.5" customHeight="1" s="91">
      <c r="A907" s="128" t="n">
        <v>33</v>
      </c>
      <c r="B907" s="128" t="inlineStr">
        <is>
          <t>Purdue Krannert</t>
        </is>
      </c>
      <c r="C907" s="128" t="inlineStr">
        <is>
          <t>Quantitative Methods</t>
        </is>
      </c>
      <c r="D907" s="128" t="inlineStr">
        <is>
          <t>Empirical Research</t>
        </is>
      </c>
      <c r="E907" s="128" t="n">
        <v>2</v>
      </c>
      <c r="F907" s="128" t="inlineStr">
        <is>
          <t>Management Science; Academy of Management Journal; Journal of Business Research; Strategic Management Journal</t>
        </is>
      </c>
    </row>
    <row r="908" ht="37.5" customHeight="1" s="91">
      <c r="A908" s="127" t="n">
        <v>33</v>
      </c>
      <c r="B908" s="127" t="inlineStr">
        <is>
          <t>Purdue Krannert</t>
        </is>
      </c>
      <c r="C908" s="127" t="inlineStr">
        <is>
          <t>Quantitative Methods</t>
        </is>
      </c>
      <c r="D908" s="127" t="inlineStr">
        <is>
          <t>Applied Research</t>
        </is>
      </c>
      <c r="E908" s="127" t="n">
        <v>2</v>
      </c>
      <c r="F908" s="127" t="inlineStr">
        <is>
          <t>Management Science; Academy of Management Journal; Journal of Business Research; Strategic Management Journal</t>
        </is>
      </c>
    </row>
    <row r="909" ht="37.5" customHeight="1" s="91">
      <c r="A909" s="128" t="n">
        <v>33</v>
      </c>
      <c r="B909" s="128" t="inlineStr">
        <is>
          <t>Purdue Krannert</t>
        </is>
      </c>
      <c r="C909" s="128" t="inlineStr">
        <is>
          <t>Quantitative Methods</t>
        </is>
      </c>
      <c r="D909" s="128" t="inlineStr">
        <is>
          <t>Policy</t>
        </is>
      </c>
      <c r="E909" s="128" t="n">
        <v>2</v>
      </c>
      <c r="F909" s="128" t="inlineStr">
        <is>
          <t>Management Science; Academy of Management Journal; Journal of Business Research; Strategic Management Journal</t>
        </is>
      </c>
    </row>
    <row r="910" ht="37.5" customHeight="1" s="91">
      <c r="A910" s="127" t="n">
        <v>33</v>
      </c>
      <c r="B910" s="127" t="inlineStr">
        <is>
          <t>Purdue Krannert</t>
        </is>
      </c>
      <c r="C910" s="127" t="inlineStr">
        <is>
          <t>Strategic Management</t>
        </is>
      </c>
      <c r="D910" s="127" t="inlineStr">
        <is>
          <t>Competitive Strategy</t>
        </is>
      </c>
      <c r="E910" s="127" t="n">
        <v>3</v>
      </c>
      <c r="F910" s="127" t="inlineStr">
        <is>
          <t>Strategic Management Journal; Academy of Management Review; Organization Science; Journal of Economics &amp; Management Strategy</t>
        </is>
      </c>
    </row>
    <row r="911" ht="37.5" customHeight="1" s="91">
      <c r="A911" s="128" t="n">
        <v>33</v>
      </c>
      <c r="B911" s="128" t="inlineStr">
        <is>
          <t>Purdue Krannert</t>
        </is>
      </c>
      <c r="C911" s="128" t="inlineStr">
        <is>
          <t>Strategic Management</t>
        </is>
      </c>
      <c r="D911" s="128" t="inlineStr">
        <is>
          <t>Corporate Strategy</t>
        </is>
      </c>
      <c r="E911" s="128" t="n">
        <v>2</v>
      </c>
      <c r="F911" s="128" t="inlineStr">
        <is>
          <t>Strategic Management Journal; Academy of Management Review; Organization Science; Journal of Economics &amp; Management Strategy</t>
        </is>
      </c>
    </row>
    <row r="912" ht="37.5" customHeight="1" s="91">
      <c r="A912" s="127" t="n">
        <v>33</v>
      </c>
      <c r="B912" s="127" t="inlineStr">
        <is>
          <t>Purdue Krannert</t>
        </is>
      </c>
      <c r="C912" s="127" t="inlineStr">
        <is>
          <t>Strategic Management</t>
        </is>
      </c>
      <c r="D912" s="127" t="inlineStr">
        <is>
          <t>Innovation</t>
        </is>
      </c>
      <c r="E912" s="127" t="n">
        <v>2</v>
      </c>
      <c r="F912" s="127" t="inlineStr">
        <is>
          <t>Strategic Management Journal; Academy of Management Review; Organization Science; Journal of Economics &amp; Management Strategy</t>
        </is>
      </c>
    </row>
    <row r="913" ht="37.5" customHeight="1" s="91">
      <c r="A913" s="128" t="n">
        <v>33</v>
      </c>
      <c r="B913" s="128" t="inlineStr">
        <is>
          <t>Purdue Krannert</t>
        </is>
      </c>
      <c r="C913" s="128" t="inlineStr">
        <is>
          <t>Strategic Management</t>
        </is>
      </c>
      <c r="D913" s="128" t="inlineStr">
        <is>
          <t>Strategic Management</t>
        </is>
      </c>
      <c r="E913" s="128" t="n">
        <v>2</v>
      </c>
      <c r="F913" s="128" t="inlineStr">
        <is>
          <t>Strategic Management Journal; Academy of Management Review; Organization Science; Journal of Economics &amp; Management Strategy</t>
        </is>
      </c>
    </row>
    <row r="914" ht="37.5" customHeight="1" s="91">
      <c r="A914" s="127" t="n">
        <v>34</v>
      </c>
      <c r="B914" s="127" t="inlineStr">
        <is>
          <t>ASU Carey</t>
        </is>
      </c>
      <c r="C914" s="127" t="inlineStr">
        <is>
          <t>Accountancy</t>
        </is>
      </c>
      <c r="D914" s="127" t="inlineStr">
        <is>
          <t>Financial Accounting</t>
        </is>
      </c>
      <c r="E914" s="127" t="n">
        <v>2</v>
      </c>
      <c r="F914" s="127" t="inlineStr">
        <is>
          <t>The Accounting Review; Journal of Accounting Research; Journal of Accounting &amp; Economics; Review of Accounting Studies</t>
        </is>
      </c>
    </row>
    <row r="915" ht="37.5" customHeight="1" s="91">
      <c r="A915" s="128" t="n">
        <v>34</v>
      </c>
      <c r="B915" s="128" t="inlineStr">
        <is>
          <t>ASU Carey</t>
        </is>
      </c>
      <c r="C915" s="128" t="inlineStr">
        <is>
          <t>Accountancy</t>
        </is>
      </c>
      <c r="D915" s="128" t="inlineStr">
        <is>
          <t>Managerial Accounting</t>
        </is>
      </c>
      <c r="E915" s="128" t="n">
        <v>2</v>
      </c>
      <c r="F915" s="128" t="inlineStr">
        <is>
          <t>The Accounting Review; Journal of Accounting Research; Journal of Accounting &amp; Economics; Review of Accounting Studies</t>
        </is>
      </c>
    </row>
    <row r="916" ht="37.5" customHeight="1" s="91">
      <c r="A916" s="127" t="n">
        <v>34</v>
      </c>
      <c r="B916" s="127" t="inlineStr">
        <is>
          <t>ASU Carey</t>
        </is>
      </c>
      <c r="C916" s="127" t="inlineStr">
        <is>
          <t>Accountancy</t>
        </is>
      </c>
      <c r="D916" s="127" t="inlineStr">
        <is>
          <t>Auditing &amp; Assurance</t>
        </is>
      </c>
      <c r="E916" s="127" t="n">
        <v>1</v>
      </c>
      <c r="F916" s="127" t="inlineStr">
        <is>
          <t>The Accounting Review; Journal of Accounting Research; Journal of Accounting &amp; Economics; Review of Accounting Studies</t>
        </is>
      </c>
    </row>
    <row r="917" ht="37.5" customHeight="1" s="91">
      <c r="A917" s="128" t="n">
        <v>34</v>
      </c>
      <c r="B917" s="128" t="inlineStr">
        <is>
          <t>ASU Carey</t>
        </is>
      </c>
      <c r="C917" s="128" t="inlineStr">
        <is>
          <t>Accountancy</t>
        </is>
      </c>
      <c r="D917" s="128" t="inlineStr">
        <is>
          <t>Tax</t>
        </is>
      </c>
      <c r="E917" s="128" t="n">
        <v>1</v>
      </c>
      <c r="F917" s="128" t="inlineStr">
        <is>
          <t>The Accounting Review; Journal of Accounting Research; Journal of Accounting &amp; Economics; Review of Accounting Studies</t>
        </is>
      </c>
    </row>
    <row r="918" ht="37.5" customHeight="1" s="91">
      <c r="A918" s="127" t="n">
        <v>34</v>
      </c>
      <c r="B918" s="127" t="inlineStr">
        <is>
          <t>ASU Carey</t>
        </is>
      </c>
      <c r="C918" s="127" t="inlineStr">
        <is>
          <t>Economics</t>
        </is>
      </c>
      <c r="D918" s="127" t="inlineStr">
        <is>
          <t>Microeconomics</t>
        </is>
      </c>
      <c r="E918" s="127" t="n">
        <v>2</v>
      </c>
      <c r="F918" s="127" t="inlineStr">
        <is>
          <t>American Economic Review; Econometrica; Quarterly Journal of Economics; Review of Economic Studies</t>
        </is>
      </c>
    </row>
    <row r="919" ht="37.5" customHeight="1" s="91">
      <c r="A919" s="128" t="n">
        <v>34</v>
      </c>
      <c r="B919" s="128" t="inlineStr">
        <is>
          <t>ASU Carey</t>
        </is>
      </c>
      <c r="C919" s="128" t="inlineStr">
        <is>
          <t>Economics</t>
        </is>
      </c>
      <c r="D919" s="128" t="inlineStr">
        <is>
          <t>Macroeconomics</t>
        </is>
      </c>
      <c r="E919" s="128" t="n">
        <v>2</v>
      </c>
      <c r="F919" s="128" t="inlineStr">
        <is>
          <t>American Economic Review; Econometrica; Quarterly Journal of Economics; Review of Economic Studies</t>
        </is>
      </c>
    </row>
    <row r="920" ht="37.5" customHeight="1" s="91">
      <c r="A920" s="127" t="n">
        <v>34</v>
      </c>
      <c r="B920" s="127" t="inlineStr">
        <is>
          <t>ASU Carey</t>
        </is>
      </c>
      <c r="C920" s="127" t="inlineStr">
        <is>
          <t>Economics</t>
        </is>
      </c>
      <c r="D920" s="127" t="inlineStr">
        <is>
          <t>Applied Economics</t>
        </is>
      </c>
      <c r="E920" s="127" t="n">
        <v>1</v>
      </c>
      <c r="F920" s="127" t="inlineStr">
        <is>
          <t>American Economic Review; Econometrica; Quarterly Journal of Economics; Review of Economic Studies</t>
        </is>
      </c>
    </row>
    <row r="921" ht="37.5" customHeight="1" s="91">
      <c r="A921" s="128" t="n">
        <v>34</v>
      </c>
      <c r="B921" s="128" t="inlineStr">
        <is>
          <t>ASU Carey</t>
        </is>
      </c>
      <c r="C921" s="128" t="inlineStr">
        <is>
          <t>Economics</t>
        </is>
      </c>
      <c r="D921" s="128" t="inlineStr">
        <is>
          <t>Industrial Organization</t>
        </is>
      </c>
      <c r="E921" s="128" t="n">
        <v>1</v>
      </c>
      <c r="F921" s="128" t="inlineStr">
        <is>
          <t>American Economic Review; Econometrica; Quarterly Journal of Economics; Review of Economic Studies</t>
        </is>
      </c>
    </row>
    <row r="922" ht="37.5" customHeight="1" s="91">
      <c r="A922" s="127" t="n">
        <v>34</v>
      </c>
      <c r="B922" s="127" t="inlineStr">
        <is>
          <t>ASU Carey</t>
        </is>
      </c>
      <c r="C922" s="127" t="inlineStr">
        <is>
          <t>Finance</t>
        </is>
      </c>
      <c r="D922" s="127" t="inlineStr">
        <is>
          <t>Corporate Finance</t>
        </is>
      </c>
      <c r="E922" s="127" t="n">
        <v>2</v>
      </c>
      <c r="F922" s="127" t="inlineStr">
        <is>
          <t>Journal of Finance; Review of Financial Studies; Journal of Financial Economics; Journal of Financial &amp; Quantitative Analysis</t>
        </is>
      </c>
    </row>
    <row r="923" ht="37.5" customHeight="1" s="91">
      <c r="A923" s="128" t="n">
        <v>34</v>
      </c>
      <c r="B923" s="128" t="inlineStr">
        <is>
          <t>ASU Carey</t>
        </is>
      </c>
      <c r="C923" s="128" t="inlineStr">
        <is>
          <t>Finance</t>
        </is>
      </c>
      <c r="D923" s="128" t="inlineStr">
        <is>
          <t>Asset Pricing</t>
        </is>
      </c>
      <c r="E923" s="128" t="n">
        <v>2</v>
      </c>
      <c r="F923" s="128" t="inlineStr">
        <is>
          <t>Journal of Finance; Review of Financial Studies; Journal of Financial Economics; Journal of Financial &amp; Quantitative Analysis</t>
        </is>
      </c>
    </row>
    <row r="924" ht="37.5" customHeight="1" s="91">
      <c r="A924" s="127" t="n">
        <v>34</v>
      </c>
      <c r="B924" s="127" t="inlineStr">
        <is>
          <t>ASU Carey</t>
        </is>
      </c>
      <c r="C924" s="127" t="inlineStr">
        <is>
          <t>Finance</t>
        </is>
      </c>
      <c r="D924" s="127" t="inlineStr">
        <is>
          <t>Banking &amp; Financial Institutions</t>
        </is>
      </c>
      <c r="E924" s="127" t="n">
        <v>2</v>
      </c>
      <c r="F924" s="127" t="inlineStr">
        <is>
          <t>Journal of Finance; Review of Financial Studies; Journal of Financial Economics; Journal of Financial &amp; Quantitative Analysis</t>
        </is>
      </c>
    </row>
    <row r="925" ht="37.5" customHeight="1" s="91">
      <c r="A925" s="128" t="n">
        <v>34</v>
      </c>
      <c r="B925" s="128" t="inlineStr">
        <is>
          <t>ASU Carey</t>
        </is>
      </c>
      <c r="C925" s="128" t="inlineStr">
        <is>
          <t>Finance</t>
        </is>
      </c>
      <c r="D925" s="128" t="inlineStr">
        <is>
          <t>International Finance</t>
        </is>
      </c>
      <c r="E925" s="128" t="n">
        <v>1</v>
      </c>
      <c r="F925" s="128" t="inlineStr">
        <is>
          <t>Journal of Finance; Review of Financial Studies; Journal of Financial Economics; Journal of Financial &amp; Quantitative Analysis</t>
        </is>
      </c>
    </row>
    <row r="926" ht="37.5" customHeight="1" s="91">
      <c r="A926" s="127" t="n">
        <v>34</v>
      </c>
      <c r="B926" s="127" t="inlineStr">
        <is>
          <t>ASU Carey</t>
        </is>
      </c>
      <c r="C926" s="127" t="inlineStr">
        <is>
          <t>Information Systems</t>
        </is>
      </c>
      <c r="D926" s="127" t="inlineStr">
        <is>
          <t>Information Systems</t>
        </is>
      </c>
      <c r="E926" s="127" t="n">
        <v>2</v>
      </c>
      <c r="F926" s="127" t="inlineStr">
        <is>
          <t>Information Systems Research; MIS Quarterly; Journal of Management Information Systems; Decision Support Systems</t>
        </is>
      </c>
    </row>
    <row r="927" ht="37.5" customHeight="1" s="91">
      <c r="A927" s="128" t="n">
        <v>34</v>
      </c>
      <c r="B927" s="128" t="inlineStr">
        <is>
          <t>ASU Carey</t>
        </is>
      </c>
      <c r="C927" s="128" t="inlineStr">
        <is>
          <t>Information Systems</t>
        </is>
      </c>
      <c r="D927" s="128" t="inlineStr">
        <is>
          <t>Business Analytics</t>
        </is>
      </c>
      <c r="E927" s="128" t="n">
        <v>2</v>
      </c>
      <c r="F927" s="128" t="inlineStr">
        <is>
          <t>Information Systems Research; MIS Quarterly; Journal of Management Information Systems; Decision Support Systems</t>
        </is>
      </c>
    </row>
    <row r="928" ht="37.5" customHeight="1" s="91">
      <c r="A928" s="127" t="n">
        <v>34</v>
      </c>
      <c r="B928" s="127" t="inlineStr">
        <is>
          <t>ASU Carey</t>
        </is>
      </c>
      <c r="C928" s="127" t="inlineStr">
        <is>
          <t>Information Systems</t>
        </is>
      </c>
      <c r="D928" s="127" t="inlineStr">
        <is>
          <t>Technology Management</t>
        </is>
      </c>
      <c r="E928" s="127" t="n">
        <v>1</v>
      </c>
      <c r="F928" s="127" t="inlineStr">
        <is>
          <t>Information Systems Research; MIS Quarterly; Journal of Management Information Systems; Decision Support Systems</t>
        </is>
      </c>
    </row>
    <row r="929" ht="37.5" customHeight="1" s="91">
      <c r="A929" s="128" t="n">
        <v>34</v>
      </c>
      <c r="B929" s="128" t="inlineStr">
        <is>
          <t>ASU Carey</t>
        </is>
      </c>
      <c r="C929" s="128" t="inlineStr">
        <is>
          <t>Information Systems</t>
        </is>
      </c>
      <c r="D929" s="128" t="inlineStr">
        <is>
          <t>Data Science</t>
        </is>
      </c>
      <c r="E929" s="128" t="n">
        <v>1</v>
      </c>
      <c r="F929" s="128" t="inlineStr">
        <is>
          <t>Information Systems Research; MIS Quarterly; Journal of Management Information Systems; Decision Support Systems</t>
        </is>
      </c>
    </row>
    <row r="930" ht="37.5" customHeight="1" s="91">
      <c r="A930" s="127" t="n">
        <v>34</v>
      </c>
      <c r="B930" s="127" t="inlineStr">
        <is>
          <t>ASU Carey</t>
        </is>
      </c>
      <c r="C930" s="127" t="inlineStr">
        <is>
          <t>Management &amp; Entrepreneurship</t>
        </is>
      </c>
      <c r="D930" s="127" t="inlineStr">
        <is>
          <t>Strategic Management</t>
        </is>
      </c>
      <c r="E930" s="127" t="n">
        <v>2</v>
      </c>
      <c r="F930" s="127" t="inlineStr">
        <is>
          <t>Academy of Management Review; Academy of Management Journal; Administrative Science Quarterly; Strategic Management Journal</t>
        </is>
      </c>
    </row>
    <row r="931" ht="37.5" customHeight="1" s="91">
      <c r="A931" s="128" t="n">
        <v>34</v>
      </c>
      <c r="B931" s="128" t="inlineStr">
        <is>
          <t>ASU Carey</t>
        </is>
      </c>
      <c r="C931" s="128" t="inlineStr">
        <is>
          <t>Management &amp; Entrepreneurship</t>
        </is>
      </c>
      <c r="D931" s="128" t="inlineStr">
        <is>
          <t>Organizational Theory</t>
        </is>
      </c>
      <c r="E931" s="128" t="n">
        <v>2</v>
      </c>
      <c r="F931" s="128" t="inlineStr">
        <is>
          <t>Academy of Management Review; Academy of Management Journal; Administrative Science Quarterly; Strategic Management Journal</t>
        </is>
      </c>
    </row>
    <row r="932" ht="37.5" customHeight="1" s="91">
      <c r="A932" s="127" t="n">
        <v>34</v>
      </c>
      <c r="B932" s="127" t="inlineStr">
        <is>
          <t>ASU Carey</t>
        </is>
      </c>
      <c r="C932" s="127" t="inlineStr">
        <is>
          <t>Management &amp; Entrepreneurship</t>
        </is>
      </c>
      <c r="D932" s="127" t="inlineStr">
        <is>
          <t>Leadership</t>
        </is>
      </c>
      <c r="E932" s="127" t="n">
        <v>1</v>
      </c>
      <c r="F932" s="127" t="inlineStr">
        <is>
          <t>Academy of Management Review; Academy of Management Journal; Administrative Science Quarterly; Strategic Management Journal</t>
        </is>
      </c>
    </row>
    <row r="933" ht="37.5" customHeight="1" s="91">
      <c r="A933" s="128" t="n">
        <v>34</v>
      </c>
      <c r="B933" s="128" t="inlineStr">
        <is>
          <t>ASU Carey</t>
        </is>
      </c>
      <c r="C933" s="128" t="inlineStr">
        <is>
          <t>Management &amp; Entrepreneurship</t>
        </is>
      </c>
      <c r="D933" s="128" t="inlineStr">
        <is>
          <t>Entrepreneurship</t>
        </is>
      </c>
      <c r="E933" s="128" t="n">
        <v>1</v>
      </c>
      <c r="F933" s="128" t="inlineStr">
        <is>
          <t>Academy of Management Review; Academy of Management Journal; Administrative Science Quarterly; Strategic Management Journal</t>
        </is>
      </c>
    </row>
    <row r="934" ht="37.5" customHeight="1" s="91">
      <c r="A934" s="127" t="n">
        <v>34</v>
      </c>
      <c r="B934" s="127" t="inlineStr">
        <is>
          <t>ASU Carey</t>
        </is>
      </c>
      <c r="C934" s="127" t="inlineStr">
        <is>
          <t>Marketing</t>
        </is>
      </c>
      <c r="D934" s="127" t="inlineStr">
        <is>
          <t>Consumer Behavior</t>
        </is>
      </c>
      <c r="E934" s="127" t="n">
        <v>2</v>
      </c>
      <c r="F934" s="127" t="inlineStr">
        <is>
          <t>Journal of Marketing Research; Journal of Marketing; Marketing Science; Journal of Consumer Research</t>
        </is>
      </c>
    </row>
    <row r="935" ht="37.5" customHeight="1" s="91">
      <c r="A935" s="128" t="n">
        <v>34</v>
      </c>
      <c r="B935" s="128" t="inlineStr">
        <is>
          <t>ASU Carey</t>
        </is>
      </c>
      <c r="C935" s="128" t="inlineStr">
        <is>
          <t>Marketing</t>
        </is>
      </c>
      <c r="D935" s="128" t="inlineStr">
        <is>
          <t>Marketing Analytics</t>
        </is>
      </c>
      <c r="E935" s="128" t="n">
        <v>2</v>
      </c>
      <c r="F935" s="128" t="inlineStr">
        <is>
          <t>Journal of Marketing Research; Journal of Marketing; Marketing Science; Journal of Consumer Research</t>
        </is>
      </c>
    </row>
    <row r="936" ht="37.5" customHeight="1" s="91">
      <c r="A936" s="127" t="n">
        <v>34</v>
      </c>
      <c r="B936" s="127" t="inlineStr">
        <is>
          <t>ASU Carey</t>
        </is>
      </c>
      <c r="C936" s="127" t="inlineStr">
        <is>
          <t>Marketing</t>
        </is>
      </c>
      <c r="D936" s="127" t="inlineStr">
        <is>
          <t>Digital Marketing</t>
        </is>
      </c>
      <c r="E936" s="127" t="n">
        <v>1</v>
      </c>
      <c r="F936" s="127" t="inlineStr">
        <is>
          <t>Journal of Marketing Research; Journal of Marketing; Marketing Science; Journal of Consumer Research</t>
        </is>
      </c>
    </row>
    <row r="937" ht="37.5" customHeight="1" s="91">
      <c r="A937" s="128" t="n">
        <v>34</v>
      </c>
      <c r="B937" s="128" t="inlineStr">
        <is>
          <t>ASU Carey</t>
        </is>
      </c>
      <c r="C937" s="128" t="inlineStr">
        <is>
          <t>Marketing</t>
        </is>
      </c>
      <c r="D937" s="128" t="inlineStr">
        <is>
          <t>Brand Management</t>
        </is>
      </c>
      <c r="E937" s="128" t="n">
        <v>1</v>
      </c>
      <c r="F937" s="128" t="inlineStr">
        <is>
          <t>Journal of Marketing Research; Journal of Marketing; Marketing Science; Journal of Consumer Research</t>
        </is>
      </c>
    </row>
    <row r="938" ht="37.5" customHeight="1" s="91">
      <c r="A938" s="127" t="n">
        <v>34</v>
      </c>
      <c r="B938" s="127" t="inlineStr">
        <is>
          <t>ASU Carey</t>
        </is>
      </c>
      <c r="C938" s="127" t="inlineStr">
        <is>
          <t>Supply Chain Management</t>
        </is>
      </c>
      <c r="D938" s="127" t="inlineStr">
        <is>
          <t>Supply Chain Management</t>
        </is>
      </c>
      <c r="E938" s="127" t="n">
        <v>2</v>
      </c>
      <c r="F938" s="127" t="inlineStr">
        <is>
          <t>Management Science; Operations Research; Manufacturing &amp; Service Operations Management; Production &amp; Operations Management</t>
        </is>
      </c>
    </row>
    <row r="939" ht="37.5" customHeight="1" s="91">
      <c r="A939" s="128" t="n">
        <v>34</v>
      </c>
      <c r="B939" s="128" t="inlineStr">
        <is>
          <t>ASU Carey</t>
        </is>
      </c>
      <c r="C939" s="128" t="inlineStr">
        <is>
          <t>Supply Chain Management</t>
        </is>
      </c>
      <c r="D939" s="128" t="inlineStr">
        <is>
          <t>Operations Research</t>
        </is>
      </c>
      <c r="E939" s="128" t="n">
        <v>2</v>
      </c>
      <c r="F939" s="128" t="inlineStr">
        <is>
          <t>Management Science; Operations Research; Manufacturing &amp; Service Operations Management; Production &amp; Operations Management</t>
        </is>
      </c>
    </row>
    <row r="940" ht="37.5" customHeight="1" s="91">
      <c r="A940" s="127" t="n">
        <v>34</v>
      </c>
      <c r="B940" s="127" t="inlineStr">
        <is>
          <t>ASU Carey</t>
        </is>
      </c>
      <c r="C940" s="127" t="inlineStr">
        <is>
          <t>Supply Chain Management</t>
        </is>
      </c>
      <c r="D940" s="127" t="inlineStr">
        <is>
          <t>Process Optimization</t>
        </is>
      </c>
      <c r="E940" s="127" t="n">
        <v>2</v>
      </c>
      <c r="F940" s="127" t="inlineStr">
        <is>
          <t>Management Science; Operations Research; Manufacturing &amp; Service Operations Management; Production &amp; Operations Management</t>
        </is>
      </c>
    </row>
    <row r="941" ht="37.5" customHeight="1" s="91">
      <c r="A941" s="128" t="n">
        <v>34</v>
      </c>
      <c r="B941" s="128" t="inlineStr">
        <is>
          <t>ASU Carey</t>
        </is>
      </c>
      <c r="C941" s="128" t="inlineStr">
        <is>
          <t>Supply Chain Management</t>
        </is>
      </c>
      <c r="D941" s="128" t="inlineStr">
        <is>
          <t>Analytics</t>
        </is>
      </c>
      <c r="E941" s="128" t="n">
        <v>1</v>
      </c>
      <c r="F941" s="128" t="inlineStr">
        <is>
          <t>Management Science; Operations Research; Manufacturing &amp; Service Operations Management; Production &amp; Operations Management</t>
        </is>
      </c>
    </row>
    <row r="942" ht="37.5" customHeight="1" s="91">
      <c r="A942" s="127" t="n">
        <v>35</v>
      </c>
      <c r="B942" s="127" t="inlineStr">
        <is>
          <t>Wisconsin SoB</t>
        </is>
      </c>
      <c r="C942" s="127" t="inlineStr">
        <is>
          <t>Accounting &amp; Information Systems</t>
        </is>
      </c>
      <c r="D942" s="127" t="inlineStr">
        <is>
          <t>Financial Accounting</t>
        </is>
      </c>
      <c r="E942" s="127" t="n">
        <v>2</v>
      </c>
      <c r="F942" s="127" t="inlineStr">
        <is>
          <t>The Accounting Review; Journal of Accounting Research; Journal of Accounting &amp; Economics; Review of Accounting Studies</t>
        </is>
      </c>
    </row>
    <row r="943" ht="37.5" customHeight="1" s="91">
      <c r="A943" s="128" t="n">
        <v>35</v>
      </c>
      <c r="B943" s="128" t="inlineStr">
        <is>
          <t>Wisconsin SoB</t>
        </is>
      </c>
      <c r="C943" s="128" t="inlineStr">
        <is>
          <t>Accounting &amp; Information Systems</t>
        </is>
      </c>
      <c r="D943" s="128" t="inlineStr">
        <is>
          <t>Managerial Accounting</t>
        </is>
      </c>
      <c r="E943" s="128" t="n">
        <v>1</v>
      </c>
      <c r="F943" s="128" t="inlineStr">
        <is>
          <t>The Accounting Review; Journal of Accounting Research; Journal of Accounting &amp; Economics; Review of Accounting Studies</t>
        </is>
      </c>
    </row>
    <row r="944" ht="37.5" customHeight="1" s="91">
      <c r="A944" s="127" t="n">
        <v>35</v>
      </c>
      <c r="B944" s="127" t="inlineStr">
        <is>
          <t>Wisconsin SoB</t>
        </is>
      </c>
      <c r="C944" s="127" t="inlineStr">
        <is>
          <t>Accounting &amp; Information Systems</t>
        </is>
      </c>
      <c r="D944" s="127" t="inlineStr">
        <is>
          <t>Auditing &amp; Assurance</t>
        </is>
      </c>
      <c r="E944" s="127" t="n">
        <v>1</v>
      </c>
      <c r="F944" s="127" t="inlineStr">
        <is>
          <t>The Accounting Review; Journal of Accounting Research; Journal of Accounting &amp; Economics; Review of Accounting Studies</t>
        </is>
      </c>
    </row>
    <row r="945" ht="37.5" customHeight="1" s="91">
      <c r="A945" s="128" t="n">
        <v>35</v>
      </c>
      <c r="B945" s="128" t="inlineStr">
        <is>
          <t>Wisconsin SoB</t>
        </is>
      </c>
      <c r="C945" s="128" t="inlineStr">
        <is>
          <t>Accounting &amp; Information Systems</t>
        </is>
      </c>
      <c r="D945" s="128" t="inlineStr">
        <is>
          <t>Tax</t>
        </is>
      </c>
      <c r="E945" s="128" t="n">
        <v>1</v>
      </c>
      <c r="F945" s="128" t="inlineStr">
        <is>
          <t>The Accounting Review; Journal of Accounting Research; Journal of Accounting &amp; Economics; Review of Accounting Studies</t>
        </is>
      </c>
    </row>
    <row r="946" ht="37.5" customHeight="1" s="91">
      <c r="A946" s="127" t="n">
        <v>35</v>
      </c>
      <c r="B946" s="127" t="inlineStr">
        <is>
          <t>Wisconsin SoB</t>
        </is>
      </c>
      <c r="C946" s="127" t="inlineStr">
        <is>
          <t>Finance, Investment &amp; Banking</t>
        </is>
      </c>
      <c r="D946" s="127" t="inlineStr">
        <is>
          <t>Corporate Finance</t>
        </is>
      </c>
      <c r="E946" s="127" t="n">
        <v>2</v>
      </c>
      <c r="F946" s="127" t="inlineStr">
        <is>
          <t>Journal of Finance; Review of Financial Studies; Journal of Financial Economics; Journal of Financial &amp; Quantitative Analysis</t>
        </is>
      </c>
    </row>
    <row r="947" ht="37.5" customHeight="1" s="91">
      <c r="A947" s="128" t="n">
        <v>35</v>
      </c>
      <c r="B947" s="128" t="inlineStr">
        <is>
          <t>Wisconsin SoB</t>
        </is>
      </c>
      <c r="C947" s="128" t="inlineStr">
        <is>
          <t>Finance, Investment &amp; Banking</t>
        </is>
      </c>
      <c r="D947" s="128" t="inlineStr">
        <is>
          <t>Asset Pricing</t>
        </is>
      </c>
      <c r="E947" s="128" t="n">
        <v>2</v>
      </c>
      <c r="F947" s="128" t="inlineStr">
        <is>
          <t>Journal of Finance; Review of Financial Studies; Journal of Financial Economics; Journal of Financial &amp; Quantitative Analysis</t>
        </is>
      </c>
    </row>
    <row r="948" ht="37.5" customHeight="1" s="91">
      <c r="A948" s="127" t="n">
        <v>35</v>
      </c>
      <c r="B948" s="127" t="inlineStr">
        <is>
          <t>Wisconsin SoB</t>
        </is>
      </c>
      <c r="C948" s="127" t="inlineStr">
        <is>
          <t>Finance, Investment &amp; Banking</t>
        </is>
      </c>
      <c r="D948" s="127" t="inlineStr">
        <is>
          <t>Banking &amp; Financial Institutions</t>
        </is>
      </c>
      <c r="E948" s="127" t="n">
        <v>2</v>
      </c>
      <c r="F948" s="127" t="inlineStr">
        <is>
          <t>Journal of Finance; Review of Financial Studies; Journal of Financial Economics; Journal of Financial &amp; Quantitative Analysis</t>
        </is>
      </c>
    </row>
    <row r="949" ht="37.5" customHeight="1" s="91">
      <c r="A949" s="128" t="n">
        <v>35</v>
      </c>
      <c r="B949" s="128" t="inlineStr">
        <is>
          <t>Wisconsin SoB</t>
        </is>
      </c>
      <c r="C949" s="128" t="inlineStr">
        <is>
          <t>Finance, Investment &amp; Banking</t>
        </is>
      </c>
      <c r="D949" s="128" t="inlineStr">
        <is>
          <t>International Finance</t>
        </is>
      </c>
      <c r="E949" s="128" t="n">
        <v>1</v>
      </c>
      <c r="F949" s="128" t="inlineStr">
        <is>
          <t>Journal of Finance; Review of Financial Studies; Journal of Financial Economics; Journal of Financial &amp; Quantitative Analysis</t>
        </is>
      </c>
    </row>
    <row r="950" ht="37.5" customHeight="1" s="91">
      <c r="A950" s="127" t="n">
        <v>35</v>
      </c>
      <c r="B950" s="127" t="inlineStr">
        <is>
          <t>Wisconsin SoB</t>
        </is>
      </c>
      <c r="C950" s="127" t="inlineStr">
        <is>
          <t>Management &amp; Human Resources</t>
        </is>
      </c>
      <c r="D950" s="127" t="inlineStr">
        <is>
          <t>Strategic Management</t>
        </is>
      </c>
      <c r="E950" s="127" t="n">
        <v>2</v>
      </c>
      <c r="F950" s="127" t="inlineStr">
        <is>
          <t>Academy of Management Review; Academy of Management Journal; Administrative Science Quarterly; Strategic Management Journal</t>
        </is>
      </c>
    </row>
    <row r="951" ht="37.5" customHeight="1" s="91">
      <c r="A951" s="128" t="n">
        <v>35</v>
      </c>
      <c r="B951" s="128" t="inlineStr">
        <is>
          <t>Wisconsin SoB</t>
        </is>
      </c>
      <c r="C951" s="128" t="inlineStr">
        <is>
          <t>Management &amp; Human Resources</t>
        </is>
      </c>
      <c r="D951" s="128" t="inlineStr">
        <is>
          <t>Organizational Theory</t>
        </is>
      </c>
      <c r="E951" s="128" t="n">
        <v>2</v>
      </c>
      <c r="F951" s="128" t="inlineStr">
        <is>
          <t>Academy of Management Review; Academy of Management Journal; Administrative Science Quarterly; Strategic Management Journal</t>
        </is>
      </c>
    </row>
    <row r="952" ht="37.5" customHeight="1" s="91">
      <c r="A952" s="127" t="n">
        <v>35</v>
      </c>
      <c r="B952" s="127" t="inlineStr">
        <is>
          <t>Wisconsin SoB</t>
        </is>
      </c>
      <c r="C952" s="127" t="inlineStr">
        <is>
          <t>Management &amp; Human Resources</t>
        </is>
      </c>
      <c r="D952" s="127" t="inlineStr">
        <is>
          <t>Leadership</t>
        </is>
      </c>
      <c r="E952" s="127" t="n">
        <v>1</v>
      </c>
      <c r="F952" s="127" t="inlineStr">
        <is>
          <t>Academy of Management Review; Academy of Management Journal; Administrative Science Quarterly; Strategic Management Journal</t>
        </is>
      </c>
    </row>
    <row r="953" ht="37.5" customHeight="1" s="91">
      <c r="A953" s="128" t="n">
        <v>35</v>
      </c>
      <c r="B953" s="128" t="inlineStr">
        <is>
          <t>Wisconsin SoB</t>
        </is>
      </c>
      <c r="C953" s="128" t="inlineStr">
        <is>
          <t>Management &amp; Human Resources</t>
        </is>
      </c>
      <c r="D953" s="128" t="inlineStr">
        <is>
          <t>Entrepreneurship</t>
        </is>
      </c>
      <c r="E953" s="128" t="n">
        <v>1</v>
      </c>
      <c r="F953" s="128" t="inlineStr">
        <is>
          <t>Academy of Management Review; Academy of Management Journal; Administrative Science Quarterly; Strategic Management Journal</t>
        </is>
      </c>
    </row>
    <row r="954" ht="37.5" customHeight="1" s="91">
      <c r="A954" s="127" t="n">
        <v>35</v>
      </c>
      <c r="B954" s="127" t="inlineStr">
        <is>
          <t>Wisconsin SoB</t>
        </is>
      </c>
      <c r="C954" s="127" t="inlineStr">
        <is>
          <t>Marketing</t>
        </is>
      </c>
      <c r="D954" s="127" t="inlineStr">
        <is>
          <t>Consumer Behavior</t>
        </is>
      </c>
      <c r="E954" s="127" t="n">
        <v>2</v>
      </c>
      <c r="F954" s="127" t="inlineStr">
        <is>
          <t>Journal of Marketing Research; Journal of Marketing; Marketing Science; Journal of Consumer Research</t>
        </is>
      </c>
    </row>
    <row r="955" ht="37.5" customHeight="1" s="91">
      <c r="A955" s="128" t="n">
        <v>35</v>
      </c>
      <c r="B955" s="128" t="inlineStr">
        <is>
          <t>Wisconsin SoB</t>
        </is>
      </c>
      <c r="C955" s="128" t="inlineStr">
        <is>
          <t>Marketing</t>
        </is>
      </c>
      <c r="D955" s="128" t="inlineStr">
        <is>
          <t>Marketing Analytics</t>
        </is>
      </c>
      <c r="E955" s="128" t="n">
        <v>2</v>
      </c>
      <c r="F955" s="128" t="inlineStr">
        <is>
          <t>Journal of Marketing Research; Journal of Marketing; Marketing Science; Journal of Consumer Research</t>
        </is>
      </c>
    </row>
    <row r="956" ht="37.5" customHeight="1" s="91">
      <c r="A956" s="127" t="n">
        <v>35</v>
      </c>
      <c r="B956" s="127" t="inlineStr">
        <is>
          <t>Wisconsin SoB</t>
        </is>
      </c>
      <c r="C956" s="127" t="inlineStr">
        <is>
          <t>Marketing</t>
        </is>
      </c>
      <c r="D956" s="127" t="inlineStr">
        <is>
          <t>Digital Marketing</t>
        </is>
      </c>
      <c r="E956" s="127" t="n">
        <v>1</v>
      </c>
      <c r="F956" s="127" t="inlineStr">
        <is>
          <t>Journal of Marketing Research; Journal of Marketing; Marketing Science; Journal of Consumer Research</t>
        </is>
      </c>
    </row>
    <row r="957" ht="37.5" customHeight="1" s="91">
      <c r="A957" s="128" t="n">
        <v>35</v>
      </c>
      <c r="B957" s="128" t="inlineStr">
        <is>
          <t>Wisconsin SoB</t>
        </is>
      </c>
      <c r="C957" s="128" t="inlineStr">
        <is>
          <t>Marketing</t>
        </is>
      </c>
      <c r="D957" s="128" t="inlineStr">
        <is>
          <t>Brand Management</t>
        </is>
      </c>
      <c r="E957" s="128" t="n">
        <v>1</v>
      </c>
      <c r="F957" s="128" t="inlineStr">
        <is>
          <t>Journal of Marketing Research; Journal of Marketing; Marketing Science; Journal of Consumer Research</t>
        </is>
      </c>
    </row>
    <row r="958" ht="37.5" customHeight="1" s="91">
      <c r="A958" s="127" t="n">
        <v>35</v>
      </c>
      <c r="B958" s="127" t="inlineStr">
        <is>
          <t>Wisconsin SoB</t>
        </is>
      </c>
      <c r="C958" s="127" t="inlineStr">
        <is>
          <t>Operations &amp; Information Management</t>
        </is>
      </c>
      <c r="D958" s="127" t="inlineStr">
        <is>
          <t>Supply Chain Management</t>
        </is>
      </c>
      <c r="E958" s="127" t="n">
        <v>2</v>
      </c>
      <c r="F958" s="127" t="inlineStr">
        <is>
          <t>Management Science; Operations Research; Manufacturing &amp; Service Operations Management; Production &amp; Operations Management</t>
        </is>
      </c>
    </row>
    <row r="959" ht="37.5" customHeight="1" s="91">
      <c r="A959" s="128" t="n">
        <v>35</v>
      </c>
      <c r="B959" s="128" t="inlineStr">
        <is>
          <t>Wisconsin SoB</t>
        </is>
      </c>
      <c r="C959" s="128" t="inlineStr">
        <is>
          <t>Operations &amp; Information Management</t>
        </is>
      </c>
      <c r="D959" s="128" t="inlineStr">
        <is>
          <t>Operations Research</t>
        </is>
      </c>
      <c r="E959" s="128" t="n">
        <v>2</v>
      </c>
      <c r="F959" s="128" t="inlineStr">
        <is>
          <t>Management Science; Operations Research; Manufacturing &amp; Service Operations Management; Production &amp; Operations Management</t>
        </is>
      </c>
    </row>
    <row r="960" ht="37.5" customHeight="1" s="91">
      <c r="A960" s="127" t="n">
        <v>35</v>
      </c>
      <c r="B960" s="127" t="inlineStr">
        <is>
          <t>Wisconsin SoB</t>
        </is>
      </c>
      <c r="C960" s="127" t="inlineStr">
        <is>
          <t>Operations &amp; Information Management</t>
        </is>
      </c>
      <c r="D960" s="127" t="inlineStr">
        <is>
          <t>Process Optimization</t>
        </is>
      </c>
      <c r="E960" s="127" t="n">
        <v>1</v>
      </c>
      <c r="F960" s="127" t="inlineStr">
        <is>
          <t>Management Science; Operations Research; Manufacturing &amp; Service Operations Management; Production &amp; Operations Management</t>
        </is>
      </c>
    </row>
    <row r="961" ht="37.5" customHeight="1" s="91">
      <c r="A961" s="128" t="n">
        <v>35</v>
      </c>
      <c r="B961" s="128" t="inlineStr">
        <is>
          <t>Wisconsin SoB</t>
        </is>
      </c>
      <c r="C961" s="128" t="inlineStr">
        <is>
          <t>Operations &amp; Information Management</t>
        </is>
      </c>
      <c r="D961" s="128" t="inlineStr">
        <is>
          <t>Analytics</t>
        </is>
      </c>
      <c r="E961" s="128" t="n">
        <v>1</v>
      </c>
      <c r="F961" s="128" t="inlineStr">
        <is>
          <t>Management Science; Operations Research; Manufacturing &amp; Service Operations Management; Production &amp; Operations Management</t>
        </is>
      </c>
    </row>
    <row r="962" ht="37.5" customHeight="1" s="91">
      <c r="A962" s="127" t="n">
        <v>35</v>
      </c>
      <c r="B962" s="127" t="inlineStr">
        <is>
          <t>Wisconsin SoB</t>
        </is>
      </c>
      <c r="C962" s="127" t="inlineStr">
        <is>
          <t>Real Estate &amp; Urban Land Economics</t>
        </is>
      </c>
      <c r="D962" s="127" t="inlineStr">
        <is>
          <t>Microeconomics</t>
        </is>
      </c>
      <c r="E962" s="127" t="n">
        <v>2</v>
      </c>
      <c r="F962" s="127" t="inlineStr">
        <is>
          <t>American Economic Review; Econometrica; Quarterly Journal of Economics; Review of Economic Studies</t>
        </is>
      </c>
    </row>
    <row r="963" ht="37.5" customHeight="1" s="91">
      <c r="A963" s="128" t="n">
        <v>35</v>
      </c>
      <c r="B963" s="128" t="inlineStr">
        <is>
          <t>Wisconsin SoB</t>
        </is>
      </c>
      <c r="C963" s="128" t="inlineStr">
        <is>
          <t>Real Estate &amp; Urban Land Economics</t>
        </is>
      </c>
      <c r="D963" s="128" t="inlineStr">
        <is>
          <t>Macroeconomics</t>
        </is>
      </c>
      <c r="E963" s="128" t="n">
        <v>2</v>
      </c>
      <c r="F963" s="128" t="inlineStr">
        <is>
          <t>American Economic Review; Econometrica; Quarterly Journal of Economics; Review of Economic Studies</t>
        </is>
      </c>
    </row>
    <row r="964" ht="37.5" customHeight="1" s="91">
      <c r="A964" s="127" t="n">
        <v>35</v>
      </c>
      <c r="B964" s="127" t="inlineStr">
        <is>
          <t>Wisconsin SoB</t>
        </is>
      </c>
      <c r="C964" s="127" t="inlineStr">
        <is>
          <t>Real Estate &amp; Urban Land Economics</t>
        </is>
      </c>
      <c r="D964" s="127" t="inlineStr">
        <is>
          <t>Applied Economics</t>
        </is>
      </c>
      <c r="E964" s="127" t="n">
        <v>1</v>
      </c>
      <c r="F964" s="127" t="inlineStr">
        <is>
          <t>American Economic Review; Econometrica; Quarterly Journal of Economics; Review of Economic Studies</t>
        </is>
      </c>
    </row>
    <row r="965" ht="37.5" customHeight="1" s="91">
      <c r="A965" s="128" t="n">
        <v>35</v>
      </c>
      <c r="B965" s="128" t="inlineStr">
        <is>
          <t>Wisconsin SoB</t>
        </is>
      </c>
      <c r="C965" s="128" t="inlineStr">
        <is>
          <t>Real Estate &amp; Urban Land Economics</t>
        </is>
      </c>
      <c r="D965" s="128" t="inlineStr">
        <is>
          <t>Industrial Organization</t>
        </is>
      </c>
      <c r="E965" s="128" t="n">
        <v>1</v>
      </c>
      <c r="F965" s="128" t="inlineStr">
        <is>
          <t>American Economic Review; Econometrica; Quarterly Journal of Economics; Review of Economic Studies</t>
        </is>
      </c>
    </row>
    <row r="966" ht="37.5" customHeight="1" s="91">
      <c r="A966" s="127" t="n">
        <v>35</v>
      </c>
      <c r="B966" s="127" t="inlineStr">
        <is>
          <t>Wisconsin SoB</t>
        </is>
      </c>
      <c r="C966" s="127" t="inlineStr">
        <is>
          <t>Risk &amp; Insurance</t>
        </is>
      </c>
      <c r="D966" s="127" t="inlineStr">
        <is>
          <t>Theory</t>
        </is>
      </c>
      <c r="E966" s="127" t="n">
        <v>2</v>
      </c>
      <c r="F966" s="127" t="inlineStr">
        <is>
          <t>Management Science; Academy of Management Journal; Journal of Business Research; Strategic Management Journal</t>
        </is>
      </c>
    </row>
    <row r="967" ht="37.5" customHeight="1" s="91">
      <c r="A967" s="128" t="n">
        <v>35</v>
      </c>
      <c r="B967" s="128" t="inlineStr">
        <is>
          <t>Wisconsin SoB</t>
        </is>
      </c>
      <c r="C967" s="128" t="inlineStr">
        <is>
          <t>Risk &amp; Insurance</t>
        </is>
      </c>
      <c r="D967" s="128" t="inlineStr">
        <is>
          <t>Empirical Research</t>
        </is>
      </c>
      <c r="E967" s="128" t="n">
        <v>2</v>
      </c>
      <c r="F967" s="128" t="inlineStr">
        <is>
          <t>Management Science; Academy of Management Journal; Journal of Business Research; Strategic Management Journal</t>
        </is>
      </c>
    </row>
    <row r="968" ht="37.5" customHeight="1" s="91">
      <c r="A968" s="127" t="n">
        <v>35</v>
      </c>
      <c r="B968" s="127" t="inlineStr">
        <is>
          <t>Wisconsin SoB</t>
        </is>
      </c>
      <c r="C968" s="127" t="inlineStr">
        <is>
          <t>Risk &amp; Insurance</t>
        </is>
      </c>
      <c r="D968" s="127" t="inlineStr">
        <is>
          <t>Applied Research</t>
        </is>
      </c>
      <c r="E968" s="127" t="n">
        <v>1</v>
      </c>
      <c r="F968" s="127" t="inlineStr">
        <is>
          <t>Management Science; Academy of Management Journal; Journal of Business Research; Strategic Management Journal</t>
        </is>
      </c>
    </row>
    <row r="969" ht="37.5" customHeight="1" s="91">
      <c r="A969" s="128" t="n">
        <v>35</v>
      </c>
      <c r="B969" s="128" t="inlineStr">
        <is>
          <t>Wisconsin SoB</t>
        </is>
      </c>
      <c r="C969" s="128" t="inlineStr">
        <is>
          <t>Risk &amp; Insurance</t>
        </is>
      </c>
      <c r="D969" s="128" t="inlineStr">
        <is>
          <t>Policy</t>
        </is>
      </c>
      <c r="E969" s="128" t="n">
        <v>1</v>
      </c>
      <c r="F969" s="128" t="inlineStr">
        <is>
          <t>Management Science; Academy of Management Journal; Journal of Business Research; Strategic Management Journal</t>
        </is>
      </c>
    </row>
    <row r="970" ht="37.5" customHeight="1" s="91">
      <c r="A970" s="127" t="n">
        <v>36</v>
      </c>
      <c r="B970" s="127" t="inlineStr">
        <is>
          <t>Maryland Smith</t>
        </is>
      </c>
      <c r="C970" s="127" t="inlineStr">
        <is>
          <t>Accounting &amp; Information Assurance</t>
        </is>
      </c>
      <c r="D970" s="127" t="inlineStr">
        <is>
          <t>Financial Accounting</t>
        </is>
      </c>
      <c r="E970" s="127" t="n">
        <v>6</v>
      </c>
      <c r="F970" s="127" t="inlineStr">
        <is>
          <t>The Accounting Review; Journal of Accounting Research; Journal of Accounting &amp; Economics; Review of Accounting Studies</t>
        </is>
      </c>
    </row>
    <row r="971" ht="37.5" customHeight="1" s="91">
      <c r="A971" s="128" t="n">
        <v>36</v>
      </c>
      <c r="B971" s="128" t="inlineStr">
        <is>
          <t>Maryland Smith</t>
        </is>
      </c>
      <c r="C971" s="128" t="inlineStr">
        <is>
          <t>Accounting &amp; Information Assurance</t>
        </is>
      </c>
      <c r="D971" s="128" t="inlineStr">
        <is>
          <t>Managerial Accounting</t>
        </is>
      </c>
      <c r="E971" s="128" t="n">
        <v>5</v>
      </c>
      <c r="F971" s="128" t="inlineStr">
        <is>
          <t>The Accounting Review; Journal of Accounting Research; Journal of Accounting &amp; Economics; Review of Accounting Studies</t>
        </is>
      </c>
    </row>
    <row r="972" ht="37.5" customHeight="1" s="91">
      <c r="A972" s="127" t="n">
        <v>36</v>
      </c>
      <c r="B972" s="127" t="inlineStr">
        <is>
          <t>Maryland Smith</t>
        </is>
      </c>
      <c r="C972" s="127" t="inlineStr">
        <is>
          <t>Accounting &amp; Information Assurance</t>
        </is>
      </c>
      <c r="D972" s="127" t="inlineStr">
        <is>
          <t>Auditing &amp; Assurance</t>
        </is>
      </c>
      <c r="E972" s="127" t="n">
        <v>5</v>
      </c>
      <c r="F972" s="127" t="inlineStr">
        <is>
          <t>The Accounting Review; Journal of Accounting Research; Journal of Accounting &amp; Economics; Review of Accounting Studies</t>
        </is>
      </c>
    </row>
    <row r="973" ht="37.5" customHeight="1" s="91">
      <c r="A973" s="128" t="n">
        <v>36</v>
      </c>
      <c r="B973" s="128" t="inlineStr">
        <is>
          <t>Maryland Smith</t>
        </is>
      </c>
      <c r="C973" s="128" t="inlineStr">
        <is>
          <t>Accounting &amp; Information Assurance</t>
        </is>
      </c>
      <c r="D973" s="128" t="inlineStr">
        <is>
          <t>Tax</t>
        </is>
      </c>
      <c r="E973" s="128" t="n">
        <v>5</v>
      </c>
      <c r="F973" s="128" t="inlineStr">
        <is>
          <t>The Accounting Review; Journal of Accounting Research; Journal of Accounting &amp; Economics; Review of Accounting Studies</t>
        </is>
      </c>
    </row>
    <row r="974" ht="37.5" customHeight="1" s="91">
      <c r="A974" s="127" t="n">
        <v>36</v>
      </c>
      <c r="B974" s="127" t="inlineStr">
        <is>
          <t>Maryland Smith</t>
        </is>
      </c>
      <c r="C974" s="127" t="inlineStr">
        <is>
          <t>Decision, Operations &amp; Information Technology</t>
        </is>
      </c>
      <c r="D974" s="127" t="inlineStr">
        <is>
          <t>Supply Chain Management</t>
        </is>
      </c>
      <c r="E974" s="127" t="n">
        <v>5</v>
      </c>
      <c r="F974" s="127" t="inlineStr">
        <is>
          <t>Management Science; Operations Research; Manufacturing &amp; Service Operations Management; Production &amp; Operations Management</t>
        </is>
      </c>
    </row>
    <row r="975" ht="37.5" customHeight="1" s="91">
      <c r="A975" s="128" t="n">
        <v>36</v>
      </c>
      <c r="B975" s="128" t="inlineStr">
        <is>
          <t>Maryland Smith</t>
        </is>
      </c>
      <c r="C975" s="128" t="inlineStr">
        <is>
          <t>Decision, Operations &amp; Information Technology</t>
        </is>
      </c>
      <c r="D975" s="128" t="inlineStr">
        <is>
          <t>Operations Research</t>
        </is>
      </c>
      <c r="E975" s="128" t="n">
        <v>5</v>
      </c>
      <c r="F975" s="128" t="inlineStr">
        <is>
          <t>Management Science; Operations Research; Manufacturing &amp; Service Operations Management; Production &amp; Operations Management</t>
        </is>
      </c>
    </row>
    <row r="976" ht="37.5" customHeight="1" s="91">
      <c r="A976" s="127" t="n">
        <v>36</v>
      </c>
      <c r="B976" s="127" t="inlineStr">
        <is>
          <t>Maryland Smith</t>
        </is>
      </c>
      <c r="C976" s="127" t="inlineStr">
        <is>
          <t>Decision, Operations &amp; Information Technology</t>
        </is>
      </c>
      <c r="D976" s="127" t="inlineStr">
        <is>
          <t>Process Optimization</t>
        </is>
      </c>
      <c r="E976" s="127" t="n">
        <v>5</v>
      </c>
      <c r="F976" s="127" t="inlineStr">
        <is>
          <t>Management Science; Operations Research; Manufacturing &amp; Service Operations Management; Production &amp; Operations Management</t>
        </is>
      </c>
    </row>
    <row r="977" ht="37.5" customHeight="1" s="91">
      <c r="A977" s="128" t="n">
        <v>36</v>
      </c>
      <c r="B977" s="128" t="inlineStr">
        <is>
          <t>Maryland Smith</t>
        </is>
      </c>
      <c r="C977" s="128" t="inlineStr">
        <is>
          <t>Decision, Operations &amp; Information Technology</t>
        </is>
      </c>
      <c r="D977" s="128" t="inlineStr">
        <is>
          <t>Analytics</t>
        </is>
      </c>
      <c r="E977" s="128" t="n">
        <v>5</v>
      </c>
      <c r="F977" s="128" t="inlineStr">
        <is>
          <t>Management Science; Operations Research; Manufacturing &amp; Service Operations Management; Production &amp; Operations Management</t>
        </is>
      </c>
    </row>
    <row r="978" ht="37.5" customHeight="1" s="91">
      <c r="A978" s="127" t="n">
        <v>36</v>
      </c>
      <c r="B978" s="127" t="inlineStr">
        <is>
          <t>Maryland Smith</t>
        </is>
      </c>
      <c r="C978" s="127" t="inlineStr">
        <is>
          <t>Finance</t>
        </is>
      </c>
      <c r="D978" s="127" t="inlineStr">
        <is>
          <t>Corporate Finance</t>
        </is>
      </c>
      <c r="E978" s="127" t="n">
        <v>7</v>
      </c>
      <c r="F978" s="127" t="inlineStr">
        <is>
          <t>Journal of Finance; Review of Financial Studies; Journal of Financial Economics; Journal of Financial &amp; Quantitative Analysis</t>
        </is>
      </c>
    </row>
    <row r="979" ht="37.5" customHeight="1" s="91">
      <c r="A979" s="128" t="n">
        <v>36</v>
      </c>
      <c r="B979" s="128" t="inlineStr">
        <is>
          <t>Maryland Smith</t>
        </is>
      </c>
      <c r="C979" s="128" t="inlineStr">
        <is>
          <t>Finance</t>
        </is>
      </c>
      <c r="D979" s="128" t="inlineStr">
        <is>
          <t>Asset Pricing</t>
        </is>
      </c>
      <c r="E979" s="128" t="n">
        <v>7</v>
      </c>
      <c r="F979" s="128" t="inlineStr">
        <is>
          <t>Journal of Finance; Review of Financial Studies; Journal of Financial Economics; Journal of Financial &amp; Quantitative Analysis</t>
        </is>
      </c>
    </row>
    <row r="980" ht="37.5" customHeight="1" s="91">
      <c r="A980" s="127" t="n">
        <v>36</v>
      </c>
      <c r="B980" s="127" t="inlineStr">
        <is>
          <t>Maryland Smith</t>
        </is>
      </c>
      <c r="C980" s="127" t="inlineStr">
        <is>
          <t>Finance</t>
        </is>
      </c>
      <c r="D980" s="127" t="inlineStr">
        <is>
          <t>Banking &amp; Financial Institutions</t>
        </is>
      </c>
      <c r="E980" s="127" t="n">
        <v>7</v>
      </c>
      <c r="F980" s="127" t="inlineStr">
        <is>
          <t>Journal of Finance; Review of Financial Studies; Journal of Financial Economics; Journal of Financial &amp; Quantitative Analysis</t>
        </is>
      </c>
    </row>
    <row r="981" ht="37.5" customHeight="1" s="91">
      <c r="A981" s="128" t="n">
        <v>36</v>
      </c>
      <c r="B981" s="128" t="inlineStr">
        <is>
          <t>Maryland Smith</t>
        </is>
      </c>
      <c r="C981" s="128" t="inlineStr">
        <is>
          <t>Finance</t>
        </is>
      </c>
      <c r="D981" s="128" t="inlineStr">
        <is>
          <t>International Finance</t>
        </is>
      </c>
      <c r="E981" s="128" t="n">
        <v>7</v>
      </c>
      <c r="F981" s="128" t="inlineStr">
        <is>
          <t>Journal of Finance; Review of Financial Studies; Journal of Financial Economics; Journal of Financial &amp; Quantitative Analysis</t>
        </is>
      </c>
    </row>
    <row r="982" ht="37.5" customHeight="1" s="91">
      <c r="A982" s="127" t="n">
        <v>36</v>
      </c>
      <c r="B982" s="127" t="inlineStr">
        <is>
          <t>Maryland Smith</t>
        </is>
      </c>
      <c r="C982" s="127" t="inlineStr">
        <is>
          <t>Logistics, Business &amp; Public Policy</t>
        </is>
      </c>
      <c r="D982" s="127" t="inlineStr">
        <is>
          <t>Theory</t>
        </is>
      </c>
      <c r="E982" s="127" t="n">
        <v>6</v>
      </c>
      <c r="F982" s="127" t="inlineStr">
        <is>
          <t>Management Science; Academy of Management Journal; Journal of Business Research; Strategic Management Journal</t>
        </is>
      </c>
    </row>
    <row r="983" ht="37.5" customHeight="1" s="91">
      <c r="A983" s="128" t="n">
        <v>36</v>
      </c>
      <c r="B983" s="128" t="inlineStr">
        <is>
          <t>Maryland Smith</t>
        </is>
      </c>
      <c r="C983" s="128" t="inlineStr">
        <is>
          <t>Logistics, Business &amp; Public Policy</t>
        </is>
      </c>
      <c r="D983" s="128" t="inlineStr">
        <is>
          <t>Empirical Research</t>
        </is>
      </c>
      <c r="E983" s="128" t="n">
        <v>5</v>
      </c>
      <c r="F983" s="128" t="inlineStr">
        <is>
          <t>Management Science; Academy of Management Journal; Journal of Business Research; Strategic Management Journal</t>
        </is>
      </c>
    </row>
    <row r="984" ht="37.5" customHeight="1" s="91">
      <c r="A984" s="127" t="n">
        <v>36</v>
      </c>
      <c r="B984" s="127" t="inlineStr">
        <is>
          <t>Maryland Smith</t>
        </is>
      </c>
      <c r="C984" s="127" t="inlineStr">
        <is>
          <t>Logistics, Business &amp; Public Policy</t>
        </is>
      </c>
      <c r="D984" s="127" t="inlineStr">
        <is>
          <t>Applied Research</t>
        </is>
      </c>
      <c r="E984" s="127" t="n">
        <v>5</v>
      </c>
      <c r="F984" s="127" t="inlineStr">
        <is>
          <t>Management Science; Academy of Management Journal; Journal of Business Research; Strategic Management Journal</t>
        </is>
      </c>
    </row>
    <row r="985" ht="37.5" customHeight="1" s="91">
      <c r="A985" s="128" t="n">
        <v>36</v>
      </c>
      <c r="B985" s="128" t="inlineStr">
        <is>
          <t>Maryland Smith</t>
        </is>
      </c>
      <c r="C985" s="128" t="inlineStr">
        <is>
          <t>Logistics, Business &amp; Public Policy</t>
        </is>
      </c>
      <c r="D985" s="128" t="inlineStr">
        <is>
          <t>Policy</t>
        </is>
      </c>
      <c r="E985" s="128" t="n">
        <v>5</v>
      </c>
      <c r="F985" s="128" t="inlineStr">
        <is>
          <t>Management Science; Academy of Management Journal; Journal of Business Research; Strategic Management Journal</t>
        </is>
      </c>
    </row>
    <row r="986" ht="37.5" customHeight="1" s="91">
      <c r="A986" s="127" t="n">
        <v>36</v>
      </c>
      <c r="B986" s="127" t="inlineStr">
        <is>
          <t>Maryland Smith</t>
        </is>
      </c>
      <c r="C986" s="127" t="inlineStr">
        <is>
          <t>Management &amp; Organization</t>
        </is>
      </c>
      <c r="D986" s="127" t="inlineStr">
        <is>
          <t>Organizational Behavior</t>
        </is>
      </c>
      <c r="E986" s="127" t="n">
        <v>6</v>
      </c>
      <c r="F986" s="127" t="inlineStr">
        <is>
          <t>Academy of Management Journal; Organization Science; Administrative Science Quarterly; Journal of Applied Psychology</t>
        </is>
      </c>
    </row>
    <row r="987" ht="37.5" customHeight="1" s="91">
      <c r="A987" s="128" t="n">
        <v>36</v>
      </c>
      <c r="B987" s="128" t="inlineStr">
        <is>
          <t>Maryland Smith</t>
        </is>
      </c>
      <c r="C987" s="128" t="inlineStr">
        <is>
          <t>Management &amp; Organization</t>
        </is>
      </c>
      <c r="D987" s="128" t="inlineStr">
        <is>
          <t>Human Resources</t>
        </is>
      </c>
      <c r="E987" s="128" t="n">
        <v>6</v>
      </c>
      <c r="F987" s="128" t="inlineStr">
        <is>
          <t>Academy of Management Journal; Organization Science; Administrative Science Quarterly; Journal of Applied Psychology</t>
        </is>
      </c>
    </row>
    <row r="988" ht="37.5" customHeight="1" s="91">
      <c r="A988" s="127" t="n">
        <v>36</v>
      </c>
      <c r="B988" s="127" t="inlineStr">
        <is>
          <t>Maryland Smith</t>
        </is>
      </c>
      <c r="C988" s="127" t="inlineStr">
        <is>
          <t>Management &amp; Organization</t>
        </is>
      </c>
      <c r="D988" s="127" t="inlineStr">
        <is>
          <t>Leadership &amp; Teams</t>
        </is>
      </c>
      <c r="E988" s="127" t="n">
        <v>5</v>
      </c>
      <c r="F988" s="127" t="inlineStr">
        <is>
          <t>Academy of Management Journal; Organization Science; Administrative Science Quarterly; Journal of Applied Psychology</t>
        </is>
      </c>
    </row>
    <row r="989" ht="37.5" customHeight="1" s="91">
      <c r="A989" s="128" t="n">
        <v>36</v>
      </c>
      <c r="B989" s="128" t="inlineStr">
        <is>
          <t>Maryland Smith</t>
        </is>
      </c>
      <c r="C989" s="128" t="inlineStr">
        <is>
          <t>Management &amp; Organization</t>
        </is>
      </c>
      <c r="D989" s="128" t="inlineStr">
        <is>
          <t>Diversity &amp; Inclusion</t>
        </is>
      </c>
      <c r="E989" s="128" t="n">
        <v>5</v>
      </c>
      <c r="F989" s="128" t="inlineStr">
        <is>
          <t>Academy of Management Journal; Organization Science; Administrative Science Quarterly; Journal of Applied Psychology</t>
        </is>
      </c>
    </row>
    <row r="990" ht="37.5" customHeight="1" s="91">
      <c r="A990" s="127" t="n">
        <v>36</v>
      </c>
      <c r="B990" s="127" t="inlineStr">
        <is>
          <t>Maryland Smith</t>
        </is>
      </c>
      <c r="C990" s="127" t="inlineStr">
        <is>
          <t>Marketing</t>
        </is>
      </c>
      <c r="D990" s="127" t="inlineStr">
        <is>
          <t>Consumer Behavior</t>
        </is>
      </c>
      <c r="E990" s="127" t="n">
        <v>6</v>
      </c>
      <c r="F990" s="127" t="inlineStr">
        <is>
          <t>Journal of Marketing Research; Journal of Marketing; Marketing Science; Journal of Consumer Research</t>
        </is>
      </c>
    </row>
    <row r="991" ht="37.5" customHeight="1" s="91">
      <c r="A991" s="128" t="n">
        <v>36</v>
      </c>
      <c r="B991" s="128" t="inlineStr">
        <is>
          <t>Maryland Smith</t>
        </is>
      </c>
      <c r="C991" s="128" t="inlineStr">
        <is>
          <t>Marketing</t>
        </is>
      </c>
      <c r="D991" s="128" t="inlineStr">
        <is>
          <t>Marketing Analytics</t>
        </is>
      </c>
      <c r="E991" s="128" t="n">
        <v>6</v>
      </c>
      <c r="F991" s="128" t="inlineStr">
        <is>
          <t>Journal of Marketing Research; Journal of Marketing; Marketing Science; Journal of Consumer Research</t>
        </is>
      </c>
    </row>
    <row r="992" ht="37.5" customHeight="1" s="91">
      <c r="A992" s="127" t="n">
        <v>36</v>
      </c>
      <c r="B992" s="127" t="inlineStr">
        <is>
          <t>Maryland Smith</t>
        </is>
      </c>
      <c r="C992" s="127" t="inlineStr">
        <is>
          <t>Marketing</t>
        </is>
      </c>
      <c r="D992" s="127" t="inlineStr">
        <is>
          <t>Digital Marketing</t>
        </is>
      </c>
      <c r="E992" s="127" t="n">
        <v>6</v>
      </c>
      <c r="F992" s="127" t="inlineStr">
        <is>
          <t>Journal of Marketing Research; Journal of Marketing; Marketing Science; Journal of Consumer Research</t>
        </is>
      </c>
    </row>
    <row r="993" ht="37.5" customHeight="1" s="91">
      <c r="A993" s="128" t="n">
        <v>36</v>
      </c>
      <c r="B993" s="128" t="inlineStr">
        <is>
          <t>Maryland Smith</t>
        </is>
      </c>
      <c r="C993" s="128" t="inlineStr">
        <is>
          <t>Marketing</t>
        </is>
      </c>
      <c r="D993" s="128" t="inlineStr">
        <is>
          <t>Brand Management</t>
        </is>
      </c>
      <c r="E993" s="128" t="n">
        <v>5</v>
      </c>
      <c r="F993" s="128" t="inlineStr">
        <is>
          <t>Journal of Marketing Research; Journal of Marketing; Marketing Science; Journal of Consumer Research</t>
        </is>
      </c>
    </row>
    <row r="994" ht="37.5" customHeight="1" s="91">
      <c r="A994" s="127" t="n">
        <v>37</v>
      </c>
      <c r="B994" s="127" t="inlineStr">
        <is>
          <t>BU Questrom</t>
        </is>
      </c>
      <c r="C994" s="127" t="inlineStr">
        <is>
          <t>Accounting</t>
        </is>
      </c>
      <c r="D994" s="127" t="inlineStr">
        <is>
          <t>Financial Accounting</t>
        </is>
      </c>
      <c r="E994" s="127" t="n">
        <v>3</v>
      </c>
      <c r="F994" s="127" t="inlineStr">
        <is>
          <t>The Accounting Review; Journal of Accounting Research; Journal of Accounting &amp; Economics; Review of Accounting Studies</t>
        </is>
      </c>
    </row>
    <row r="995" ht="37.5" customHeight="1" s="91">
      <c r="A995" s="128" t="n">
        <v>37</v>
      </c>
      <c r="B995" s="128" t="inlineStr">
        <is>
          <t>BU Questrom</t>
        </is>
      </c>
      <c r="C995" s="128" t="inlineStr">
        <is>
          <t>Accounting</t>
        </is>
      </c>
      <c r="D995" s="128" t="inlineStr">
        <is>
          <t>Managerial Accounting</t>
        </is>
      </c>
      <c r="E995" s="128" t="n">
        <v>2</v>
      </c>
      <c r="F995" s="128" t="inlineStr">
        <is>
          <t>The Accounting Review; Journal of Accounting Research; Journal of Accounting &amp; Economics; Review of Accounting Studies</t>
        </is>
      </c>
    </row>
    <row r="996" ht="37.5" customHeight="1" s="91">
      <c r="A996" s="127" t="n">
        <v>37</v>
      </c>
      <c r="B996" s="127" t="inlineStr">
        <is>
          <t>BU Questrom</t>
        </is>
      </c>
      <c r="C996" s="127" t="inlineStr">
        <is>
          <t>Accounting</t>
        </is>
      </c>
      <c r="D996" s="127" t="inlineStr">
        <is>
          <t>Auditing &amp; Assurance</t>
        </is>
      </c>
      <c r="E996" s="127" t="n">
        <v>2</v>
      </c>
      <c r="F996" s="127" t="inlineStr">
        <is>
          <t>The Accounting Review; Journal of Accounting Research; Journal of Accounting &amp; Economics; Review of Accounting Studies</t>
        </is>
      </c>
    </row>
    <row r="997" ht="37.5" customHeight="1" s="91">
      <c r="A997" s="128" t="n">
        <v>37</v>
      </c>
      <c r="B997" s="128" t="inlineStr">
        <is>
          <t>BU Questrom</t>
        </is>
      </c>
      <c r="C997" s="128" t="inlineStr">
        <is>
          <t>Accounting</t>
        </is>
      </c>
      <c r="D997" s="128" t="inlineStr">
        <is>
          <t>Tax</t>
        </is>
      </c>
      <c r="E997" s="128" t="n">
        <v>2</v>
      </c>
      <c r="F997" s="128" t="inlineStr">
        <is>
          <t>The Accounting Review; Journal of Accounting Research; Journal of Accounting &amp; Economics; Review of Accounting Studies</t>
        </is>
      </c>
    </row>
    <row r="998" ht="37.5" customHeight="1" s="91">
      <c r="A998" s="127" t="n">
        <v>37</v>
      </c>
      <c r="B998" s="127" t="inlineStr">
        <is>
          <t>BU Questrom</t>
        </is>
      </c>
      <c r="C998" s="127" t="inlineStr">
        <is>
          <t>Finance</t>
        </is>
      </c>
      <c r="D998" s="127" t="inlineStr">
        <is>
          <t>Corporate Finance</t>
        </is>
      </c>
      <c r="E998" s="127" t="n">
        <v>3</v>
      </c>
      <c r="F998" s="127" t="inlineStr">
        <is>
          <t>Journal of Finance; Review of Financial Studies; Journal of Financial Economics; Journal of Financial &amp; Quantitative Analysis</t>
        </is>
      </c>
    </row>
    <row r="999" ht="37.5" customHeight="1" s="91">
      <c r="A999" s="128" t="n">
        <v>37</v>
      </c>
      <c r="B999" s="128" t="inlineStr">
        <is>
          <t>BU Questrom</t>
        </is>
      </c>
      <c r="C999" s="128" t="inlineStr">
        <is>
          <t>Finance</t>
        </is>
      </c>
      <c r="D999" s="128" t="inlineStr">
        <is>
          <t>Asset Pricing</t>
        </is>
      </c>
      <c r="E999" s="128" t="n">
        <v>3</v>
      </c>
      <c r="F999" s="128" t="inlineStr">
        <is>
          <t>Journal of Finance; Review of Financial Studies; Journal of Financial Economics; Journal of Financial &amp; Quantitative Analysis</t>
        </is>
      </c>
    </row>
    <row r="1000" ht="37.5" customHeight="1" s="91">
      <c r="A1000" s="127" t="n">
        <v>37</v>
      </c>
      <c r="B1000" s="127" t="inlineStr">
        <is>
          <t>BU Questrom</t>
        </is>
      </c>
      <c r="C1000" s="127" t="inlineStr">
        <is>
          <t>Finance</t>
        </is>
      </c>
      <c r="D1000" s="127" t="inlineStr">
        <is>
          <t>Banking &amp; Financial Institutions</t>
        </is>
      </c>
      <c r="E1000" s="127" t="n">
        <v>3</v>
      </c>
      <c r="F1000" s="127" t="inlineStr">
        <is>
          <t>Journal of Finance; Review of Financial Studies; Journal of Financial Economics; Journal of Financial &amp; Quantitative Analysis</t>
        </is>
      </c>
    </row>
    <row r="1001" ht="37.5" customHeight="1" s="91">
      <c r="A1001" s="128" t="n">
        <v>37</v>
      </c>
      <c r="B1001" s="128" t="inlineStr">
        <is>
          <t>BU Questrom</t>
        </is>
      </c>
      <c r="C1001" s="128" t="inlineStr">
        <is>
          <t>Finance</t>
        </is>
      </c>
      <c r="D1001" s="128" t="inlineStr">
        <is>
          <t>International Finance</t>
        </is>
      </c>
      <c r="E1001" s="128" t="n">
        <v>3</v>
      </c>
      <c r="F1001" s="128" t="inlineStr">
        <is>
          <t>Journal of Finance; Review of Financial Studies; Journal of Financial Economics; Journal of Financial &amp; Quantitative Analysis</t>
        </is>
      </c>
    </row>
    <row r="1002" ht="37.5" customHeight="1" s="91">
      <c r="A1002" s="127" t="n">
        <v>37</v>
      </c>
      <c r="B1002" s="127" t="inlineStr">
        <is>
          <t>BU Questrom</t>
        </is>
      </c>
      <c r="C1002" s="127" t="inlineStr">
        <is>
          <t>Information Systems</t>
        </is>
      </c>
      <c r="D1002" s="127" t="inlineStr">
        <is>
          <t>Information Systems</t>
        </is>
      </c>
      <c r="E1002" s="127" t="n">
        <v>3</v>
      </c>
      <c r="F1002" s="127" t="inlineStr">
        <is>
          <t>Information Systems Research; MIS Quarterly; Journal of Management Information Systems; Decision Support Systems</t>
        </is>
      </c>
    </row>
    <row r="1003" ht="37.5" customHeight="1" s="91">
      <c r="A1003" s="128" t="n">
        <v>37</v>
      </c>
      <c r="B1003" s="128" t="inlineStr">
        <is>
          <t>BU Questrom</t>
        </is>
      </c>
      <c r="C1003" s="128" t="inlineStr">
        <is>
          <t>Information Systems</t>
        </is>
      </c>
      <c r="D1003" s="128" t="inlineStr">
        <is>
          <t>Business Analytics</t>
        </is>
      </c>
      <c r="E1003" s="128" t="n">
        <v>2</v>
      </c>
      <c r="F1003" s="128" t="inlineStr">
        <is>
          <t>Information Systems Research; MIS Quarterly; Journal of Management Information Systems; Decision Support Systems</t>
        </is>
      </c>
    </row>
    <row r="1004" ht="37.5" customHeight="1" s="91">
      <c r="A1004" s="127" t="n">
        <v>37</v>
      </c>
      <c r="B1004" s="127" t="inlineStr">
        <is>
          <t>BU Questrom</t>
        </is>
      </c>
      <c r="C1004" s="127" t="inlineStr">
        <is>
          <t>Information Systems</t>
        </is>
      </c>
      <c r="D1004" s="127" t="inlineStr">
        <is>
          <t>Technology Management</t>
        </is>
      </c>
      <c r="E1004" s="127" t="n">
        <v>2</v>
      </c>
      <c r="F1004" s="127" t="inlineStr">
        <is>
          <t>Information Systems Research; MIS Quarterly; Journal of Management Information Systems; Decision Support Systems</t>
        </is>
      </c>
    </row>
    <row r="1005" ht="37.5" customHeight="1" s="91">
      <c r="A1005" s="128" t="n">
        <v>37</v>
      </c>
      <c r="B1005" s="128" t="inlineStr">
        <is>
          <t>BU Questrom</t>
        </is>
      </c>
      <c r="C1005" s="128" t="inlineStr">
        <is>
          <t>Information Systems</t>
        </is>
      </c>
      <c r="D1005" s="128" t="inlineStr">
        <is>
          <t>Data Science</t>
        </is>
      </c>
      <c r="E1005" s="128" t="n">
        <v>2</v>
      </c>
      <c r="F1005" s="128" t="inlineStr">
        <is>
          <t>Information Systems Research; MIS Quarterly; Journal of Management Information Systems; Decision Support Systems</t>
        </is>
      </c>
    </row>
    <row r="1006" ht="37.5" customHeight="1" s="91">
      <c r="A1006" s="127" t="n">
        <v>37</v>
      </c>
      <c r="B1006" s="127" t="inlineStr">
        <is>
          <t>BU Questrom</t>
        </is>
      </c>
      <c r="C1006" s="127" t="inlineStr">
        <is>
          <t>Management &amp; Organizations</t>
        </is>
      </c>
      <c r="D1006" s="127" t="inlineStr">
        <is>
          <t>Organizational Behavior</t>
        </is>
      </c>
      <c r="E1006" s="127" t="n">
        <v>3</v>
      </c>
      <c r="F1006" s="127" t="inlineStr">
        <is>
          <t>Academy of Management Journal; Organization Science; Administrative Science Quarterly; Journal of Applied Psychology</t>
        </is>
      </c>
    </row>
    <row r="1007" ht="37.5" customHeight="1" s="91">
      <c r="A1007" s="128" t="n">
        <v>37</v>
      </c>
      <c r="B1007" s="128" t="inlineStr">
        <is>
          <t>BU Questrom</t>
        </is>
      </c>
      <c r="C1007" s="128" t="inlineStr">
        <is>
          <t>Management &amp; Organizations</t>
        </is>
      </c>
      <c r="D1007" s="128" t="inlineStr">
        <is>
          <t>Human Resources</t>
        </is>
      </c>
      <c r="E1007" s="128" t="n">
        <v>3</v>
      </c>
      <c r="F1007" s="128" t="inlineStr">
        <is>
          <t>Academy of Management Journal; Organization Science; Administrative Science Quarterly; Journal of Applied Psychology</t>
        </is>
      </c>
    </row>
    <row r="1008" ht="37.5" customHeight="1" s="91">
      <c r="A1008" s="127" t="n">
        <v>37</v>
      </c>
      <c r="B1008" s="127" t="inlineStr">
        <is>
          <t>BU Questrom</t>
        </is>
      </c>
      <c r="C1008" s="127" t="inlineStr">
        <is>
          <t>Management &amp; Organizations</t>
        </is>
      </c>
      <c r="D1008" s="127" t="inlineStr">
        <is>
          <t>Leadership &amp; Teams</t>
        </is>
      </c>
      <c r="E1008" s="127" t="n">
        <v>2</v>
      </c>
      <c r="F1008" s="127" t="inlineStr">
        <is>
          <t>Academy of Management Journal; Organization Science; Administrative Science Quarterly; Journal of Applied Psychology</t>
        </is>
      </c>
    </row>
    <row r="1009" ht="37.5" customHeight="1" s="91">
      <c r="A1009" s="128" t="n">
        <v>37</v>
      </c>
      <c r="B1009" s="128" t="inlineStr">
        <is>
          <t>BU Questrom</t>
        </is>
      </c>
      <c r="C1009" s="128" t="inlineStr">
        <is>
          <t>Management &amp; Organizations</t>
        </is>
      </c>
      <c r="D1009" s="128" t="inlineStr">
        <is>
          <t>Diversity &amp; Inclusion</t>
        </is>
      </c>
      <c r="E1009" s="128" t="n">
        <v>2</v>
      </c>
      <c r="F1009" s="128" t="inlineStr">
        <is>
          <t>Academy of Management Journal; Organization Science; Administrative Science Quarterly; Journal of Applied Psychology</t>
        </is>
      </c>
    </row>
    <row r="1010" ht="37.5" customHeight="1" s="91">
      <c r="A1010" s="127" t="n">
        <v>37</v>
      </c>
      <c r="B1010" s="127" t="inlineStr">
        <is>
          <t>BU Questrom</t>
        </is>
      </c>
      <c r="C1010" s="127" t="inlineStr">
        <is>
          <t>Marketing</t>
        </is>
      </c>
      <c r="D1010" s="127" t="inlineStr">
        <is>
          <t>Consumer Behavior</t>
        </is>
      </c>
      <c r="E1010" s="127" t="n">
        <v>3</v>
      </c>
      <c r="F1010" s="127" t="inlineStr">
        <is>
          <t>Journal of Marketing Research; Journal of Marketing; Marketing Science; Journal of Consumer Research</t>
        </is>
      </c>
    </row>
    <row r="1011" ht="37.5" customHeight="1" s="91">
      <c r="A1011" s="128" t="n">
        <v>37</v>
      </c>
      <c r="B1011" s="128" t="inlineStr">
        <is>
          <t>BU Questrom</t>
        </is>
      </c>
      <c r="C1011" s="128" t="inlineStr">
        <is>
          <t>Marketing</t>
        </is>
      </c>
      <c r="D1011" s="128" t="inlineStr">
        <is>
          <t>Marketing Analytics</t>
        </is>
      </c>
      <c r="E1011" s="128" t="n">
        <v>2</v>
      </c>
      <c r="F1011" s="128" t="inlineStr">
        <is>
          <t>Journal of Marketing Research; Journal of Marketing; Marketing Science; Journal of Consumer Research</t>
        </is>
      </c>
    </row>
    <row r="1012" ht="37.5" customHeight="1" s="91">
      <c r="A1012" s="127" t="n">
        <v>37</v>
      </c>
      <c r="B1012" s="127" t="inlineStr">
        <is>
          <t>BU Questrom</t>
        </is>
      </c>
      <c r="C1012" s="127" t="inlineStr">
        <is>
          <t>Marketing</t>
        </is>
      </c>
      <c r="D1012" s="127" t="inlineStr">
        <is>
          <t>Digital Marketing</t>
        </is>
      </c>
      <c r="E1012" s="127" t="n">
        <v>2</v>
      </c>
      <c r="F1012" s="127" t="inlineStr">
        <is>
          <t>Journal of Marketing Research; Journal of Marketing; Marketing Science; Journal of Consumer Research</t>
        </is>
      </c>
    </row>
    <row r="1013" ht="37.5" customHeight="1" s="91">
      <c r="A1013" s="128" t="n">
        <v>37</v>
      </c>
      <c r="B1013" s="128" t="inlineStr">
        <is>
          <t>BU Questrom</t>
        </is>
      </c>
      <c r="C1013" s="128" t="inlineStr">
        <is>
          <t>Marketing</t>
        </is>
      </c>
      <c r="D1013" s="128" t="inlineStr">
        <is>
          <t>Brand Management</t>
        </is>
      </c>
      <c r="E1013" s="128" t="n">
        <v>2</v>
      </c>
      <c r="F1013" s="128" t="inlineStr">
        <is>
          <t>Journal of Marketing Research; Journal of Marketing; Marketing Science; Journal of Consumer Research</t>
        </is>
      </c>
    </row>
    <row r="1014" ht="37.5" customHeight="1" s="91">
      <c r="A1014" s="127" t="n">
        <v>37</v>
      </c>
      <c r="B1014" s="127" t="inlineStr">
        <is>
          <t>BU Questrom</t>
        </is>
      </c>
      <c r="C1014" s="127" t="inlineStr">
        <is>
          <t>Markets, Public Policy &amp; Law</t>
        </is>
      </c>
      <c r="D1014" s="127" t="inlineStr">
        <is>
          <t>Theory</t>
        </is>
      </c>
      <c r="E1014" s="127" t="n">
        <v>3</v>
      </c>
      <c r="F1014" s="127" t="inlineStr">
        <is>
          <t>Management Science; Academy of Management Journal; Journal of Business Research; Strategic Management Journal</t>
        </is>
      </c>
    </row>
    <row r="1015" ht="37.5" customHeight="1" s="91">
      <c r="A1015" s="128" t="n">
        <v>37</v>
      </c>
      <c r="B1015" s="128" t="inlineStr">
        <is>
          <t>BU Questrom</t>
        </is>
      </c>
      <c r="C1015" s="128" t="inlineStr">
        <is>
          <t>Markets, Public Policy &amp; Law</t>
        </is>
      </c>
      <c r="D1015" s="128" t="inlineStr">
        <is>
          <t>Empirical Research</t>
        </is>
      </c>
      <c r="E1015" s="128" t="n">
        <v>2</v>
      </c>
      <c r="F1015" s="128" t="inlineStr">
        <is>
          <t>Management Science; Academy of Management Journal; Journal of Business Research; Strategic Management Journal</t>
        </is>
      </c>
    </row>
    <row r="1016" ht="37.5" customHeight="1" s="91">
      <c r="A1016" s="127" t="n">
        <v>37</v>
      </c>
      <c r="B1016" s="127" t="inlineStr">
        <is>
          <t>BU Questrom</t>
        </is>
      </c>
      <c r="C1016" s="127" t="inlineStr">
        <is>
          <t>Markets, Public Policy &amp; Law</t>
        </is>
      </c>
      <c r="D1016" s="127" t="inlineStr">
        <is>
          <t>Applied Research</t>
        </is>
      </c>
      <c r="E1016" s="127" t="n">
        <v>2</v>
      </c>
      <c r="F1016" s="127" t="inlineStr">
        <is>
          <t>Management Science; Academy of Management Journal; Journal of Business Research; Strategic Management Journal</t>
        </is>
      </c>
    </row>
    <row r="1017" ht="37.5" customHeight="1" s="91">
      <c r="A1017" s="128" t="n">
        <v>37</v>
      </c>
      <c r="B1017" s="128" t="inlineStr">
        <is>
          <t>BU Questrom</t>
        </is>
      </c>
      <c r="C1017" s="128" t="inlineStr">
        <is>
          <t>Markets, Public Policy &amp; Law</t>
        </is>
      </c>
      <c r="D1017" s="128" t="inlineStr">
        <is>
          <t>Policy</t>
        </is>
      </c>
      <c r="E1017" s="128" t="n">
        <v>2</v>
      </c>
      <c r="F1017" s="128" t="inlineStr">
        <is>
          <t>Management Science; Academy of Management Journal; Journal of Business Research; Strategic Management Journal</t>
        </is>
      </c>
    </row>
    <row r="1018" ht="37.5" customHeight="1" s="91">
      <c r="A1018" s="127" t="n">
        <v>37</v>
      </c>
      <c r="B1018" s="127" t="inlineStr">
        <is>
          <t>BU Questrom</t>
        </is>
      </c>
      <c r="C1018" s="127" t="inlineStr">
        <is>
          <t>Operations &amp; Technology Management</t>
        </is>
      </c>
      <c r="D1018" s="127" t="inlineStr">
        <is>
          <t>Supply Chain Management</t>
        </is>
      </c>
      <c r="E1018" s="127" t="n">
        <v>3</v>
      </c>
      <c r="F1018" s="127" t="inlineStr">
        <is>
          <t>Management Science; Operations Research; Manufacturing &amp; Service Operations Management; Production &amp; Operations Management</t>
        </is>
      </c>
    </row>
    <row r="1019" ht="37.5" customHeight="1" s="91">
      <c r="A1019" s="128" t="n">
        <v>37</v>
      </c>
      <c r="B1019" s="128" t="inlineStr">
        <is>
          <t>BU Questrom</t>
        </is>
      </c>
      <c r="C1019" s="128" t="inlineStr">
        <is>
          <t>Operations &amp; Technology Management</t>
        </is>
      </c>
      <c r="D1019" s="128" t="inlineStr">
        <is>
          <t>Operations Research</t>
        </is>
      </c>
      <c r="E1019" s="128" t="n">
        <v>2</v>
      </c>
      <c r="F1019" s="128" t="inlineStr">
        <is>
          <t>Management Science; Operations Research; Manufacturing &amp; Service Operations Management; Production &amp; Operations Management</t>
        </is>
      </c>
    </row>
    <row r="1020" ht="37.5" customHeight="1" s="91">
      <c r="A1020" s="127" t="n">
        <v>37</v>
      </c>
      <c r="B1020" s="127" t="inlineStr">
        <is>
          <t>BU Questrom</t>
        </is>
      </c>
      <c r="C1020" s="127" t="inlineStr">
        <is>
          <t>Operations &amp; Technology Management</t>
        </is>
      </c>
      <c r="D1020" s="127" t="inlineStr">
        <is>
          <t>Process Optimization</t>
        </is>
      </c>
      <c r="E1020" s="127" t="n">
        <v>2</v>
      </c>
      <c r="F1020" s="127" t="inlineStr">
        <is>
          <t>Management Science; Operations Research; Manufacturing &amp; Service Operations Management; Production &amp; Operations Management</t>
        </is>
      </c>
    </row>
    <row r="1021" ht="37.5" customHeight="1" s="91">
      <c r="A1021" s="128" t="n">
        <v>37</v>
      </c>
      <c r="B1021" s="128" t="inlineStr">
        <is>
          <t>BU Questrom</t>
        </is>
      </c>
      <c r="C1021" s="128" t="inlineStr">
        <is>
          <t>Operations &amp; Technology Management</t>
        </is>
      </c>
      <c r="D1021" s="128" t="inlineStr">
        <is>
          <t>Analytics</t>
        </is>
      </c>
      <c r="E1021" s="128" t="n">
        <v>2</v>
      </c>
      <c r="F1021" s="128" t="inlineStr">
        <is>
          <t>Management Science; Operations Research; Manufacturing &amp; Service Operations Management; Production &amp; Operations Management</t>
        </is>
      </c>
    </row>
    <row r="1022" ht="37.5" customHeight="1" s="91">
      <c r="A1022" s="127" t="n">
        <v>37</v>
      </c>
      <c r="B1022" s="127" t="inlineStr">
        <is>
          <t>BU Questrom</t>
        </is>
      </c>
      <c r="C1022" s="127" t="inlineStr">
        <is>
          <t>Strategy &amp; Innovation</t>
        </is>
      </c>
      <c r="D1022" s="127" t="inlineStr">
        <is>
          <t>Competitive Strategy</t>
        </is>
      </c>
      <c r="E1022" s="127" t="n">
        <v>3</v>
      </c>
      <c r="F1022" s="127" t="inlineStr">
        <is>
          <t>Strategic Management Journal; Academy of Management Review; Organization Science; Journal of Economics &amp; Management Strategy</t>
        </is>
      </c>
    </row>
    <row r="1023" ht="37.5" customHeight="1" s="91">
      <c r="A1023" s="128" t="n">
        <v>37</v>
      </c>
      <c r="B1023" s="128" t="inlineStr">
        <is>
          <t>BU Questrom</t>
        </is>
      </c>
      <c r="C1023" s="128" t="inlineStr">
        <is>
          <t>Strategy &amp; Innovation</t>
        </is>
      </c>
      <c r="D1023" s="128" t="inlineStr">
        <is>
          <t>Corporate Strategy</t>
        </is>
      </c>
      <c r="E1023" s="128" t="n">
        <v>2</v>
      </c>
      <c r="F1023" s="128" t="inlineStr">
        <is>
          <t>Strategic Management Journal; Academy of Management Review; Organization Science; Journal of Economics &amp; Management Strategy</t>
        </is>
      </c>
    </row>
    <row r="1024" ht="37.5" customHeight="1" s="91">
      <c r="A1024" s="127" t="n">
        <v>37</v>
      </c>
      <c r="B1024" s="127" t="inlineStr">
        <is>
          <t>BU Questrom</t>
        </is>
      </c>
      <c r="C1024" s="127" t="inlineStr">
        <is>
          <t>Strategy &amp; Innovation</t>
        </is>
      </c>
      <c r="D1024" s="127" t="inlineStr">
        <is>
          <t>Innovation</t>
        </is>
      </c>
      <c r="E1024" s="127" t="n">
        <v>2</v>
      </c>
      <c r="F1024" s="127" t="inlineStr">
        <is>
          <t>Strategic Management Journal; Academy of Management Review; Organization Science; Journal of Economics &amp; Management Strategy</t>
        </is>
      </c>
    </row>
    <row r="1025" ht="37.5" customHeight="1" s="91">
      <c r="A1025" s="128" t="n">
        <v>37</v>
      </c>
      <c r="B1025" s="128" t="inlineStr">
        <is>
          <t>BU Questrom</t>
        </is>
      </c>
      <c r="C1025" s="128" t="inlineStr">
        <is>
          <t>Strategy &amp; Innovation</t>
        </is>
      </c>
      <c r="D1025" s="128" t="inlineStr">
        <is>
          <t>Strategic Management</t>
        </is>
      </c>
      <c r="E1025" s="128" t="n">
        <v>2</v>
      </c>
      <c r="F1025" s="128" t="inlineStr">
        <is>
          <t>Strategic Management Journal; Academy of Management Review; Organization Science; Journal of Economics &amp; Management Strategy</t>
        </is>
      </c>
    </row>
    <row r="1026" ht="37.5" customHeight="1" s="91">
      <c r="A1026" s="127" t="n">
        <v>38</v>
      </c>
      <c r="B1026" s="127" t="inlineStr">
        <is>
          <t>UF Warrington</t>
        </is>
      </c>
      <c r="C1026" s="127" t="inlineStr">
        <is>
          <t>Accounting (Fisher School)</t>
        </is>
      </c>
      <c r="D1026" s="127" t="inlineStr">
        <is>
          <t>Financial Accounting</t>
        </is>
      </c>
      <c r="E1026" s="127" t="n">
        <v>2</v>
      </c>
      <c r="F1026" s="127" t="inlineStr">
        <is>
          <t>The Accounting Review; Journal of Accounting Research; Journal of Accounting &amp; Economics; Review of Accounting Studies</t>
        </is>
      </c>
    </row>
    <row r="1027" ht="37.5" customHeight="1" s="91">
      <c r="A1027" s="128" t="n">
        <v>38</v>
      </c>
      <c r="B1027" s="128" t="inlineStr">
        <is>
          <t>UF Warrington</t>
        </is>
      </c>
      <c r="C1027" s="128" t="inlineStr">
        <is>
          <t>Accounting (Fisher School)</t>
        </is>
      </c>
      <c r="D1027" s="128" t="inlineStr">
        <is>
          <t>Managerial Accounting</t>
        </is>
      </c>
      <c r="E1027" s="128" t="n">
        <v>2</v>
      </c>
      <c r="F1027" s="128" t="inlineStr">
        <is>
          <t>The Accounting Review; Journal of Accounting Research; Journal of Accounting &amp; Economics; Review of Accounting Studies</t>
        </is>
      </c>
    </row>
    <row r="1028" ht="37.5" customHeight="1" s="91">
      <c r="A1028" s="127" t="n">
        <v>38</v>
      </c>
      <c r="B1028" s="127" t="inlineStr">
        <is>
          <t>UF Warrington</t>
        </is>
      </c>
      <c r="C1028" s="127" t="inlineStr">
        <is>
          <t>Accounting (Fisher School)</t>
        </is>
      </c>
      <c r="D1028" s="127" t="inlineStr">
        <is>
          <t>Auditing &amp; Assurance</t>
        </is>
      </c>
      <c r="E1028" s="127" t="n">
        <v>2</v>
      </c>
      <c r="F1028" s="127" t="inlineStr">
        <is>
          <t>The Accounting Review; Journal of Accounting Research; Journal of Accounting &amp; Economics; Review of Accounting Studies</t>
        </is>
      </c>
    </row>
    <row r="1029" ht="37.5" customHeight="1" s="91">
      <c r="A1029" s="128" t="n">
        <v>38</v>
      </c>
      <c r="B1029" s="128" t="inlineStr">
        <is>
          <t>UF Warrington</t>
        </is>
      </c>
      <c r="C1029" s="128" t="inlineStr">
        <is>
          <t>Accounting (Fisher School)</t>
        </is>
      </c>
      <c r="D1029" s="128" t="inlineStr">
        <is>
          <t>Tax</t>
        </is>
      </c>
      <c r="E1029" s="128" t="n">
        <v>1</v>
      </c>
      <c r="F1029" s="128" t="inlineStr">
        <is>
          <t>The Accounting Review; Journal of Accounting Research; Journal of Accounting &amp; Economics; Review of Accounting Studies</t>
        </is>
      </c>
    </row>
    <row r="1030" ht="37.5" customHeight="1" s="91">
      <c r="A1030" s="127" t="n">
        <v>38</v>
      </c>
      <c r="B1030" s="127" t="inlineStr">
        <is>
          <t>UF Warrington</t>
        </is>
      </c>
      <c r="C1030" s="127" t="inlineStr">
        <is>
          <t>Finance, Insurance &amp; Real Estate</t>
        </is>
      </c>
      <c r="D1030" s="127" t="inlineStr">
        <is>
          <t>Corporate Finance</t>
        </is>
      </c>
      <c r="E1030" s="127" t="n">
        <v>3</v>
      </c>
      <c r="F1030" s="127" t="inlineStr">
        <is>
          <t>Journal of Finance; Review of Financial Studies; Journal of Financial Economics; Journal of Financial &amp; Quantitative Analysis</t>
        </is>
      </c>
    </row>
    <row r="1031" ht="37.5" customHeight="1" s="91">
      <c r="A1031" s="128" t="n">
        <v>38</v>
      </c>
      <c r="B1031" s="128" t="inlineStr">
        <is>
          <t>UF Warrington</t>
        </is>
      </c>
      <c r="C1031" s="128" t="inlineStr">
        <is>
          <t>Finance, Insurance &amp; Real Estate</t>
        </is>
      </c>
      <c r="D1031" s="128" t="inlineStr">
        <is>
          <t>Asset Pricing</t>
        </is>
      </c>
      <c r="E1031" s="128" t="n">
        <v>2</v>
      </c>
      <c r="F1031" s="128" t="inlineStr">
        <is>
          <t>Journal of Finance; Review of Financial Studies; Journal of Financial Economics; Journal of Financial &amp; Quantitative Analysis</t>
        </is>
      </c>
    </row>
    <row r="1032" ht="37.5" customHeight="1" s="91">
      <c r="A1032" s="127" t="n">
        <v>38</v>
      </c>
      <c r="B1032" s="127" t="inlineStr">
        <is>
          <t>UF Warrington</t>
        </is>
      </c>
      <c r="C1032" s="127" t="inlineStr">
        <is>
          <t>Finance, Insurance &amp; Real Estate</t>
        </is>
      </c>
      <c r="D1032" s="127" t="inlineStr">
        <is>
          <t>Banking &amp; Financial Institutions</t>
        </is>
      </c>
      <c r="E1032" s="127" t="n">
        <v>2</v>
      </c>
      <c r="F1032" s="127" t="inlineStr">
        <is>
          <t>Journal of Finance; Review of Financial Studies; Journal of Financial Economics; Journal of Financial &amp; Quantitative Analysis</t>
        </is>
      </c>
    </row>
    <row r="1033" ht="37.5" customHeight="1" s="91">
      <c r="A1033" s="128" t="n">
        <v>38</v>
      </c>
      <c r="B1033" s="128" t="inlineStr">
        <is>
          <t>UF Warrington</t>
        </is>
      </c>
      <c r="C1033" s="128" t="inlineStr">
        <is>
          <t>Finance, Insurance &amp; Real Estate</t>
        </is>
      </c>
      <c r="D1033" s="128" t="inlineStr">
        <is>
          <t>International Finance</t>
        </is>
      </c>
      <c r="E1033" s="128" t="n">
        <v>2</v>
      </c>
      <c r="F1033" s="128" t="inlineStr">
        <is>
          <t>Journal of Finance; Review of Financial Studies; Journal of Financial Economics; Journal of Financial &amp; Quantitative Analysis</t>
        </is>
      </c>
    </row>
    <row r="1034" ht="37.5" customHeight="1" s="91">
      <c r="A1034" s="127" t="n">
        <v>38</v>
      </c>
      <c r="B1034" s="127" t="inlineStr">
        <is>
          <t>UF Warrington</t>
        </is>
      </c>
      <c r="C1034" s="127" t="inlineStr">
        <is>
          <t>Information Systems &amp; Operations Management</t>
        </is>
      </c>
      <c r="D1034" s="127" t="inlineStr">
        <is>
          <t>Supply Chain Management</t>
        </is>
      </c>
      <c r="E1034" s="127" t="n">
        <v>2</v>
      </c>
      <c r="F1034" s="127" t="inlineStr">
        <is>
          <t>Management Science; Operations Research; Manufacturing &amp; Service Operations Management; Production &amp; Operations Management</t>
        </is>
      </c>
    </row>
    <row r="1035" ht="37.5" customHeight="1" s="91">
      <c r="A1035" s="128" t="n">
        <v>38</v>
      </c>
      <c r="B1035" s="128" t="inlineStr">
        <is>
          <t>UF Warrington</t>
        </is>
      </c>
      <c r="C1035" s="128" t="inlineStr">
        <is>
          <t>Information Systems &amp; Operations Management</t>
        </is>
      </c>
      <c r="D1035" s="128" t="inlineStr">
        <is>
          <t>Operations Research</t>
        </is>
      </c>
      <c r="E1035" s="128" t="n">
        <v>2</v>
      </c>
      <c r="F1035" s="128" t="inlineStr">
        <is>
          <t>Management Science; Operations Research; Manufacturing &amp; Service Operations Management; Production &amp; Operations Management</t>
        </is>
      </c>
    </row>
    <row r="1036" ht="37.5" customHeight="1" s="91">
      <c r="A1036" s="127" t="n">
        <v>38</v>
      </c>
      <c r="B1036" s="127" t="inlineStr">
        <is>
          <t>UF Warrington</t>
        </is>
      </c>
      <c r="C1036" s="127" t="inlineStr">
        <is>
          <t>Information Systems &amp; Operations Management</t>
        </is>
      </c>
      <c r="D1036" s="127" t="inlineStr">
        <is>
          <t>Process Optimization</t>
        </is>
      </c>
      <c r="E1036" s="127" t="n">
        <v>2</v>
      </c>
      <c r="F1036" s="127" t="inlineStr">
        <is>
          <t>Management Science; Operations Research; Manufacturing &amp; Service Operations Management; Production &amp; Operations Management</t>
        </is>
      </c>
    </row>
    <row r="1037" ht="37.5" customHeight="1" s="91">
      <c r="A1037" s="128" t="n">
        <v>38</v>
      </c>
      <c r="B1037" s="128" t="inlineStr">
        <is>
          <t>UF Warrington</t>
        </is>
      </c>
      <c r="C1037" s="128" t="inlineStr">
        <is>
          <t>Information Systems &amp; Operations Management</t>
        </is>
      </c>
      <c r="D1037" s="128" t="inlineStr">
        <is>
          <t>Analytics</t>
        </is>
      </c>
      <c r="E1037" s="128" t="n">
        <v>2</v>
      </c>
      <c r="F1037" s="128" t="inlineStr">
        <is>
          <t>Management Science; Operations Research; Manufacturing &amp; Service Operations Management; Production &amp; Operations Management</t>
        </is>
      </c>
    </row>
    <row r="1038" ht="37.5" customHeight="1" s="91">
      <c r="A1038" s="127" t="n">
        <v>38</v>
      </c>
      <c r="B1038" s="127" t="inlineStr">
        <is>
          <t>UF Warrington</t>
        </is>
      </c>
      <c r="C1038" s="127" t="inlineStr">
        <is>
          <t>Management</t>
        </is>
      </c>
      <c r="D1038" s="127" t="inlineStr">
        <is>
          <t>Strategic Management</t>
        </is>
      </c>
      <c r="E1038" s="127" t="n">
        <v>2</v>
      </c>
      <c r="F1038" s="127" t="inlineStr">
        <is>
          <t>Academy of Management Review; Academy of Management Journal; Administrative Science Quarterly; Strategic Management Journal</t>
        </is>
      </c>
    </row>
    <row r="1039" ht="37.5" customHeight="1" s="91">
      <c r="A1039" s="128" t="n">
        <v>38</v>
      </c>
      <c r="B1039" s="128" t="inlineStr">
        <is>
          <t>UF Warrington</t>
        </is>
      </c>
      <c r="C1039" s="128" t="inlineStr">
        <is>
          <t>Management</t>
        </is>
      </c>
      <c r="D1039" s="128" t="inlineStr">
        <is>
          <t>Organizational Theory</t>
        </is>
      </c>
      <c r="E1039" s="128" t="n">
        <v>2</v>
      </c>
      <c r="F1039" s="128" t="inlineStr">
        <is>
          <t>Academy of Management Review; Academy of Management Journal; Administrative Science Quarterly; Strategic Management Journal</t>
        </is>
      </c>
    </row>
    <row r="1040" ht="37.5" customHeight="1" s="91">
      <c r="A1040" s="127" t="n">
        <v>38</v>
      </c>
      <c r="B1040" s="127" t="inlineStr">
        <is>
          <t>UF Warrington</t>
        </is>
      </c>
      <c r="C1040" s="127" t="inlineStr">
        <is>
          <t>Management</t>
        </is>
      </c>
      <c r="D1040" s="127" t="inlineStr">
        <is>
          <t>Leadership</t>
        </is>
      </c>
      <c r="E1040" s="127" t="n">
        <v>2</v>
      </c>
      <c r="F1040" s="127" t="inlineStr">
        <is>
          <t>Academy of Management Review; Academy of Management Journal; Administrative Science Quarterly; Strategic Management Journal</t>
        </is>
      </c>
    </row>
    <row r="1041" ht="37.5" customHeight="1" s="91">
      <c r="A1041" s="128" t="n">
        <v>38</v>
      </c>
      <c r="B1041" s="128" t="inlineStr">
        <is>
          <t>UF Warrington</t>
        </is>
      </c>
      <c r="C1041" s="128" t="inlineStr">
        <is>
          <t>Management</t>
        </is>
      </c>
      <c r="D1041" s="128" t="inlineStr">
        <is>
          <t>Entrepreneurship</t>
        </is>
      </c>
      <c r="E1041" s="128" t="n">
        <v>1</v>
      </c>
      <c r="F1041" s="128" t="inlineStr">
        <is>
          <t>Academy of Management Review; Academy of Management Journal; Administrative Science Quarterly; Strategic Management Journal</t>
        </is>
      </c>
    </row>
    <row r="1042" ht="37.5" customHeight="1" s="91">
      <c r="A1042" s="127" t="n">
        <v>38</v>
      </c>
      <c r="B1042" s="127" t="inlineStr">
        <is>
          <t>UF Warrington</t>
        </is>
      </c>
      <c r="C1042" s="127" t="inlineStr">
        <is>
          <t>Marketing</t>
        </is>
      </c>
      <c r="D1042" s="127" t="inlineStr">
        <is>
          <t>Consumer Behavior</t>
        </is>
      </c>
      <c r="E1042" s="127" t="n">
        <v>2</v>
      </c>
      <c r="F1042" s="127" t="inlineStr">
        <is>
          <t>Journal of Marketing Research; Journal of Marketing; Marketing Science; Journal of Consumer Research</t>
        </is>
      </c>
    </row>
    <row r="1043" ht="37.5" customHeight="1" s="91">
      <c r="A1043" s="128" t="n">
        <v>38</v>
      </c>
      <c r="B1043" s="128" t="inlineStr">
        <is>
          <t>UF Warrington</t>
        </is>
      </c>
      <c r="C1043" s="128" t="inlineStr">
        <is>
          <t>Marketing</t>
        </is>
      </c>
      <c r="D1043" s="128" t="inlineStr">
        <is>
          <t>Marketing Analytics</t>
        </is>
      </c>
      <c r="E1043" s="128" t="n">
        <v>2</v>
      </c>
      <c r="F1043" s="128" t="inlineStr">
        <is>
          <t>Journal of Marketing Research; Journal of Marketing; Marketing Science; Journal of Consumer Research</t>
        </is>
      </c>
    </row>
    <row r="1044" ht="37.5" customHeight="1" s="91">
      <c r="A1044" s="127" t="n">
        <v>38</v>
      </c>
      <c r="B1044" s="127" t="inlineStr">
        <is>
          <t>UF Warrington</t>
        </is>
      </c>
      <c r="C1044" s="127" t="inlineStr">
        <is>
          <t>Marketing</t>
        </is>
      </c>
      <c r="D1044" s="127" t="inlineStr">
        <is>
          <t>Digital Marketing</t>
        </is>
      </c>
      <c r="E1044" s="127" t="n">
        <v>2</v>
      </c>
      <c r="F1044" s="127" t="inlineStr">
        <is>
          <t>Journal of Marketing Research; Journal of Marketing; Marketing Science; Journal of Consumer Research</t>
        </is>
      </c>
    </row>
    <row r="1045" ht="37.5" customHeight="1" s="91">
      <c r="A1045" s="128" t="n">
        <v>38</v>
      </c>
      <c r="B1045" s="128" t="inlineStr">
        <is>
          <t>UF Warrington</t>
        </is>
      </c>
      <c r="C1045" s="128" t="inlineStr">
        <is>
          <t>Marketing</t>
        </is>
      </c>
      <c r="D1045" s="128" t="inlineStr">
        <is>
          <t>Brand Management</t>
        </is>
      </c>
      <c r="E1045" s="128" t="n">
        <v>1</v>
      </c>
      <c r="F1045" s="128" t="inlineStr">
        <is>
          <t>Journal of Marketing Research; Journal of Marketing; Marketing Science; Journal of Consumer Research</t>
        </is>
      </c>
    </row>
    <row r="1046" ht="37.5" customHeight="1" s="91">
      <c r="A1046" s="127" t="n">
        <v>39</v>
      </c>
      <c r="B1046" s="127" t="inlineStr">
        <is>
          <t>SMU Cox</t>
        </is>
      </c>
      <c r="C1046" s="127" t="inlineStr">
        <is>
          <t>Accounting</t>
        </is>
      </c>
      <c r="D1046" s="127" t="inlineStr">
        <is>
          <t>Financial Accounting</t>
        </is>
      </c>
      <c r="E1046" s="127" t="n">
        <v>2</v>
      </c>
      <c r="F1046" s="127" t="inlineStr">
        <is>
          <t>The Accounting Review; Journal of Accounting Research; Journal of Accounting &amp; Economics; Review of Accounting Studies</t>
        </is>
      </c>
    </row>
    <row r="1047" ht="37.5" customHeight="1" s="91">
      <c r="A1047" s="128" t="n">
        <v>39</v>
      </c>
      <c r="B1047" s="128" t="inlineStr">
        <is>
          <t>SMU Cox</t>
        </is>
      </c>
      <c r="C1047" s="128" t="inlineStr">
        <is>
          <t>Accounting</t>
        </is>
      </c>
      <c r="D1047" s="128" t="inlineStr">
        <is>
          <t>Managerial Accounting</t>
        </is>
      </c>
      <c r="E1047" s="128" t="n">
        <v>2</v>
      </c>
      <c r="F1047" s="128" t="inlineStr">
        <is>
          <t>The Accounting Review; Journal of Accounting Research; Journal of Accounting &amp; Economics; Review of Accounting Studies</t>
        </is>
      </c>
    </row>
    <row r="1048" ht="37.5" customHeight="1" s="91">
      <c r="A1048" s="127" t="n">
        <v>39</v>
      </c>
      <c r="B1048" s="127" t="inlineStr">
        <is>
          <t>SMU Cox</t>
        </is>
      </c>
      <c r="C1048" s="127" t="inlineStr">
        <is>
          <t>Accounting</t>
        </is>
      </c>
      <c r="D1048" s="127" t="inlineStr">
        <is>
          <t>Auditing &amp; Assurance</t>
        </is>
      </c>
      <c r="E1048" s="127" t="n">
        <v>1</v>
      </c>
      <c r="F1048" s="127" t="inlineStr">
        <is>
          <t>The Accounting Review; Journal of Accounting Research; Journal of Accounting &amp; Economics; Review of Accounting Studies</t>
        </is>
      </c>
    </row>
    <row r="1049" ht="37.5" customHeight="1" s="91">
      <c r="A1049" s="128" t="n">
        <v>39</v>
      </c>
      <c r="B1049" s="128" t="inlineStr">
        <is>
          <t>SMU Cox</t>
        </is>
      </c>
      <c r="C1049" s="128" t="inlineStr">
        <is>
          <t>Accounting</t>
        </is>
      </c>
      <c r="D1049" s="128" t="inlineStr">
        <is>
          <t>Tax</t>
        </is>
      </c>
      <c r="E1049" s="128" t="n">
        <v>1</v>
      </c>
      <c r="F1049" s="128" t="inlineStr">
        <is>
          <t>The Accounting Review; Journal of Accounting Research; Journal of Accounting &amp; Economics; Review of Accounting Studies</t>
        </is>
      </c>
    </row>
    <row r="1050" ht="37.5" customHeight="1" s="91">
      <c r="A1050" s="127" t="n">
        <v>39</v>
      </c>
      <c r="B1050" s="127" t="inlineStr">
        <is>
          <t>SMU Cox</t>
        </is>
      </c>
      <c r="C1050" s="127" t="inlineStr">
        <is>
          <t>Finance</t>
        </is>
      </c>
      <c r="D1050" s="127" t="inlineStr">
        <is>
          <t>Corporate Finance</t>
        </is>
      </c>
      <c r="E1050" s="127" t="n">
        <v>2</v>
      </c>
      <c r="F1050" s="127" t="inlineStr">
        <is>
          <t>Journal of Finance; Review of Financial Studies; Journal of Financial Economics; Journal of Financial &amp; Quantitative Analysis</t>
        </is>
      </c>
    </row>
    <row r="1051" ht="37.5" customHeight="1" s="91">
      <c r="A1051" s="128" t="n">
        <v>39</v>
      </c>
      <c r="B1051" s="128" t="inlineStr">
        <is>
          <t>SMU Cox</t>
        </is>
      </c>
      <c r="C1051" s="128" t="inlineStr">
        <is>
          <t>Finance</t>
        </is>
      </c>
      <c r="D1051" s="128" t="inlineStr">
        <is>
          <t>Asset Pricing</t>
        </is>
      </c>
      <c r="E1051" s="128" t="n">
        <v>2</v>
      </c>
      <c r="F1051" s="128" t="inlineStr">
        <is>
          <t>Journal of Finance; Review of Financial Studies; Journal of Financial Economics; Journal of Financial &amp; Quantitative Analysis</t>
        </is>
      </c>
    </row>
    <row r="1052" ht="37.5" customHeight="1" s="91">
      <c r="A1052" s="127" t="n">
        <v>39</v>
      </c>
      <c r="B1052" s="127" t="inlineStr">
        <is>
          <t>SMU Cox</t>
        </is>
      </c>
      <c r="C1052" s="127" t="inlineStr">
        <is>
          <t>Finance</t>
        </is>
      </c>
      <c r="D1052" s="127" t="inlineStr">
        <is>
          <t>Banking &amp; Financial Institutions</t>
        </is>
      </c>
      <c r="E1052" s="127" t="n">
        <v>2</v>
      </c>
      <c r="F1052" s="127" t="inlineStr">
        <is>
          <t>Journal of Finance; Review of Financial Studies; Journal of Financial Economics; Journal of Financial &amp; Quantitative Analysis</t>
        </is>
      </c>
    </row>
    <row r="1053" ht="37.5" customHeight="1" s="91">
      <c r="A1053" s="128" t="n">
        <v>39</v>
      </c>
      <c r="B1053" s="128" t="inlineStr">
        <is>
          <t>SMU Cox</t>
        </is>
      </c>
      <c r="C1053" s="128" t="inlineStr">
        <is>
          <t>Finance</t>
        </is>
      </c>
      <c r="D1053" s="128" t="inlineStr">
        <is>
          <t>International Finance</t>
        </is>
      </c>
      <c r="E1053" s="128" t="n">
        <v>1</v>
      </c>
      <c r="F1053" s="128" t="inlineStr">
        <is>
          <t>Journal of Finance; Review of Financial Studies; Journal of Financial Economics; Journal of Financial &amp; Quantitative Analysis</t>
        </is>
      </c>
    </row>
    <row r="1054" ht="37.5" customHeight="1" s="91">
      <c r="A1054" s="127" t="n">
        <v>39</v>
      </c>
      <c r="B1054" s="127" t="inlineStr">
        <is>
          <t>SMU Cox</t>
        </is>
      </c>
      <c r="C1054" s="127" t="inlineStr">
        <is>
          <t>Information Technology &amp; Operations Management</t>
        </is>
      </c>
      <c r="D1054" s="127" t="inlineStr">
        <is>
          <t>Supply Chain Management</t>
        </is>
      </c>
      <c r="E1054" s="127" t="n">
        <v>2</v>
      </c>
      <c r="F1054" s="127" t="inlineStr">
        <is>
          <t>Management Science; Operations Research; Manufacturing &amp; Service Operations Management; Production &amp; Operations Management</t>
        </is>
      </c>
    </row>
    <row r="1055" ht="37.5" customHeight="1" s="91">
      <c r="A1055" s="128" t="n">
        <v>39</v>
      </c>
      <c r="B1055" s="128" t="inlineStr">
        <is>
          <t>SMU Cox</t>
        </is>
      </c>
      <c r="C1055" s="128" t="inlineStr">
        <is>
          <t>Information Technology &amp; Operations Management</t>
        </is>
      </c>
      <c r="D1055" s="128" t="inlineStr">
        <is>
          <t>Operations Research</t>
        </is>
      </c>
      <c r="E1055" s="128" t="n">
        <v>2</v>
      </c>
      <c r="F1055" s="128" t="inlineStr">
        <is>
          <t>Management Science; Operations Research; Manufacturing &amp; Service Operations Management; Production &amp; Operations Management</t>
        </is>
      </c>
    </row>
    <row r="1056" ht="37.5" customHeight="1" s="91">
      <c r="A1056" s="127" t="n">
        <v>39</v>
      </c>
      <c r="B1056" s="127" t="inlineStr">
        <is>
          <t>SMU Cox</t>
        </is>
      </c>
      <c r="C1056" s="127" t="inlineStr">
        <is>
          <t>Information Technology &amp; Operations Management</t>
        </is>
      </c>
      <c r="D1056" s="127" t="inlineStr">
        <is>
          <t>Process Optimization</t>
        </is>
      </c>
      <c r="E1056" s="127" t="n">
        <v>1</v>
      </c>
      <c r="F1056" s="127" t="inlineStr">
        <is>
          <t>Management Science; Operations Research; Manufacturing &amp; Service Operations Management; Production &amp; Operations Management</t>
        </is>
      </c>
    </row>
    <row r="1057" ht="37.5" customHeight="1" s="91">
      <c r="A1057" s="128" t="n">
        <v>39</v>
      </c>
      <c r="B1057" s="128" t="inlineStr">
        <is>
          <t>SMU Cox</t>
        </is>
      </c>
      <c r="C1057" s="128" t="inlineStr">
        <is>
          <t>Information Technology &amp; Operations Management</t>
        </is>
      </c>
      <c r="D1057" s="128" t="inlineStr">
        <is>
          <t>Analytics</t>
        </is>
      </c>
      <c r="E1057" s="128" t="n">
        <v>1</v>
      </c>
      <c r="F1057" s="128" t="inlineStr">
        <is>
          <t>Management Science; Operations Research; Manufacturing &amp; Service Operations Management; Production &amp; Operations Management</t>
        </is>
      </c>
    </row>
    <row r="1058" ht="37.5" customHeight="1" s="91">
      <c r="A1058" s="127" t="n">
        <v>39</v>
      </c>
      <c r="B1058" s="127" t="inlineStr">
        <is>
          <t>SMU Cox</t>
        </is>
      </c>
      <c r="C1058" s="127" t="inlineStr">
        <is>
          <t>Management, Strategy &amp; Entrepreneurship</t>
        </is>
      </c>
      <c r="D1058" s="127" t="inlineStr">
        <is>
          <t>Competitive Strategy</t>
        </is>
      </c>
      <c r="E1058" s="127" t="n">
        <v>2</v>
      </c>
      <c r="F1058" s="127" t="inlineStr">
        <is>
          <t>Strategic Management Journal; Academy of Management Review; Organization Science; Journal of Economics &amp; Management Strategy</t>
        </is>
      </c>
    </row>
    <row r="1059" ht="37.5" customHeight="1" s="91">
      <c r="A1059" s="128" t="n">
        <v>39</v>
      </c>
      <c r="B1059" s="128" t="inlineStr">
        <is>
          <t>SMU Cox</t>
        </is>
      </c>
      <c r="C1059" s="128" t="inlineStr">
        <is>
          <t>Management, Strategy &amp; Entrepreneurship</t>
        </is>
      </c>
      <c r="D1059" s="128" t="inlineStr">
        <is>
          <t>Corporate Strategy</t>
        </is>
      </c>
      <c r="E1059" s="128" t="n">
        <v>2</v>
      </c>
      <c r="F1059" s="128" t="inlineStr">
        <is>
          <t>Strategic Management Journal; Academy of Management Review; Organization Science; Journal of Economics &amp; Management Strategy</t>
        </is>
      </c>
    </row>
    <row r="1060" ht="37.5" customHeight="1" s="91">
      <c r="A1060" s="127" t="n">
        <v>39</v>
      </c>
      <c r="B1060" s="127" t="inlineStr">
        <is>
          <t>SMU Cox</t>
        </is>
      </c>
      <c r="C1060" s="127" t="inlineStr">
        <is>
          <t>Management, Strategy &amp; Entrepreneurship</t>
        </is>
      </c>
      <c r="D1060" s="127" t="inlineStr">
        <is>
          <t>Innovation</t>
        </is>
      </c>
      <c r="E1060" s="127" t="n">
        <v>1</v>
      </c>
      <c r="F1060" s="127" t="inlineStr">
        <is>
          <t>Strategic Management Journal; Academy of Management Review; Organization Science; Journal of Economics &amp; Management Strategy</t>
        </is>
      </c>
    </row>
    <row r="1061" ht="37.5" customHeight="1" s="91">
      <c r="A1061" s="128" t="n">
        <v>39</v>
      </c>
      <c r="B1061" s="128" t="inlineStr">
        <is>
          <t>SMU Cox</t>
        </is>
      </c>
      <c r="C1061" s="128" t="inlineStr">
        <is>
          <t>Management, Strategy &amp; Entrepreneurship</t>
        </is>
      </c>
      <c r="D1061" s="128" t="inlineStr">
        <is>
          <t>Strategic Management</t>
        </is>
      </c>
      <c r="E1061" s="128" t="n">
        <v>1</v>
      </c>
      <c r="F1061" s="128" t="inlineStr">
        <is>
          <t>Strategic Management Journal; Academy of Management Review; Organization Science; Journal of Economics &amp; Management Strategy</t>
        </is>
      </c>
    </row>
    <row r="1062" ht="37.5" customHeight="1" s="91">
      <c r="A1062" s="127" t="n">
        <v>39</v>
      </c>
      <c r="B1062" s="127" t="inlineStr">
        <is>
          <t>SMU Cox</t>
        </is>
      </c>
      <c r="C1062" s="127" t="inlineStr">
        <is>
          <t>Marketing</t>
        </is>
      </c>
      <c r="D1062" s="127" t="inlineStr">
        <is>
          <t>Consumer Behavior</t>
        </is>
      </c>
      <c r="E1062" s="127" t="n">
        <v>2</v>
      </c>
      <c r="F1062" s="127" t="inlineStr">
        <is>
          <t>Journal of Marketing Research; Journal of Marketing; Marketing Science; Journal of Consumer Research</t>
        </is>
      </c>
    </row>
    <row r="1063" ht="37.5" customHeight="1" s="91">
      <c r="A1063" s="128" t="n">
        <v>39</v>
      </c>
      <c r="B1063" s="128" t="inlineStr">
        <is>
          <t>SMU Cox</t>
        </is>
      </c>
      <c r="C1063" s="128" t="inlineStr">
        <is>
          <t>Marketing</t>
        </is>
      </c>
      <c r="D1063" s="128" t="inlineStr">
        <is>
          <t>Marketing Analytics</t>
        </is>
      </c>
      <c r="E1063" s="128" t="n">
        <v>2</v>
      </c>
      <c r="F1063" s="128" t="inlineStr">
        <is>
          <t>Journal of Marketing Research; Journal of Marketing; Marketing Science; Journal of Consumer Research</t>
        </is>
      </c>
    </row>
    <row r="1064" ht="37.5" customHeight="1" s="91">
      <c r="A1064" s="127" t="n">
        <v>39</v>
      </c>
      <c r="B1064" s="127" t="inlineStr">
        <is>
          <t>SMU Cox</t>
        </is>
      </c>
      <c r="C1064" s="127" t="inlineStr">
        <is>
          <t>Marketing</t>
        </is>
      </c>
      <c r="D1064" s="127" t="inlineStr">
        <is>
          <t>Digital Marketing</t>
        </is>
      </c>
      <c r="E1064" s="127" t="n">
        <v>1</v>
      </c>
      <c r="F1064" s="127" t="inlineStr">
        <is>
          <t>Journal of Marketing Research; Journal of Marketing; Marketing Science; Journal of Consumer Research</t>
        </is>
      </c>
    </row>
    <row r="1065" ht="37.5" customHeight="1" s="91">
      <c r="A1065" s="128" t="n">
        <v>39</v>
      </c>
      <c r="B1065" s="128" t="inlineStr">
        <is>
          <t>SMU Cox</t>
        </is>
      </c>
      <c r="C1065" s="128" t="inlineStr">
        <is>
          <t>Marketing</t>
        </is>
      </c>
      <c r="D1065" s="128" t="inlineStr">
        <is>
          <t>Brand Management</t>
        </is>
      </c>
      <c r="E1065" s="128" t="n">
        <v>1</v>
      </c>
      <c r="F1065" s="128" t="inlineStr">
        <is>
          <t>Journal of Marketing Research; Journal of Marketing; Marketing Science; Journal of Consumer Research</t>
        </is>
      </c>
    </row>
    <row r="1066" ht="37.5" customHeight="1" s="91">
      <c r="A1066" s="127" t="n">
        <v>39</v>
      </c>
      <c r="B1066" s="127" t="inlineStr">
        <is>
          <t>SMU Cox</t>
        </is>
      </c>
      <c r="C1066" s="127" t="inlineStr">
        <is>
          <t>Real Estate</t>
        </is>
      </c>
      <c r="D1066" s="127" t="inlineStr">
        <is>
          <t>Theory</t>
        </is>
      </c>
      <c r="E1066" s="127" t="n">
        <v>2</v>
      </c>
      <c r="F1066" s="127" t="inlineStr">
        <is>
          <t>Management Science; Academy of Management Journal; Journal of Business Research; Strategic Management Journal</t>
        </is>
      </c>
    </row>
    <row r="1067" ht="37.5" customHeight="1" s="91">
      <c r="A1067" s="128" t="n">
        <v>39</v>
      </c>
      <c r="B1067" s="128" t="inlineStr">
        <is>
          <t>SMU Cox</t>
        </is>
      </c>
      <c r="C1067" s="128" t="inlineStr">
        <is>
          <t>Real Estate</t>
        </is>
      </c>
      <c r="D1067" s="128" t="inlineStr">
        <is>
          <t>Empirical Research</t>
        </is>
      </c>
      <c r="E1067" s="128" t="n">
        <v>2</v>
      </c>
      <c r="F1067" s="128" t="inlineStr">
        <is>
          <t>Management Science; Academy of Management Journal; Journal of Business Research; Strategic Management Journal</t>
        </is>
      </c>
    </row>
    <row r="1068" ht="37.5" customHeight="1" s="91">
      <c r="A1068" s="127" t="n">
        <v>39</v>
      </c>
      <c r="B1068" s="127" t="inlineStr">
        <is>
          <t>SMU Cox</t>
        </is>
      </c>
      <c r="C1068" s="127" t="inlineStr">
        <is>
          <t>Real Estate</t>
        </is>
      </c>
      <c r="D1068" s="127" t="inlineStr">
        <is>
          <t>Applied Research</t>
        </is>
      </c>
      <c r="E1068" s="127" t="n">
        <v>1</v>
      </c>
      <c r="F1068" s="127" t="inlineStr">
        <is>
          <t>Management Science; Academy of Management Journal; Journal of Business Research; Strategic Management Journal</t>
        </is>
      </c>
    </row>
    <row r="1069" ht="37.5" customHeight="1" s="91">
      <c r="A1069" s="128" t="n">
        <v>39</v>
      </c>
      <c r="B1069" s="128" t="inlineStr">
        <is>
          <t>SMU Cox</t>
        </is>
      </c>
      <c r="C1069" s="128" t="inlineStr">
        <is>
          <t>Real Estate</t>
        </is>
      </c>
      <c r="D1069" s="128" t="inlineStr">
        <is>
          <t>Policy</t>
        </is>
      </c>
      <c r="E1069" s="128" t="n">
        <v>1</v>
      </c>
      <c r="F1069" s="128" t="inlineStr">
        <is>
          <t>Management Science; Academy of Management Journal; Journal of Business Research; Strategic Management Journal</t>
        </is>
      </c>
    </row>
    <row r="1070" ht="37.5" customHeight="1" s="91">
      <c r="A1070" s="127" t="n">
        <v>40</v>
      </c>
      <c r="B1070" s="127" t="inlineStr">
        <is>
          <t>UW Foster</t>
        </is>
      </c>
      <c r="C1070" s="127" t="inlineStr">
        <is>
          <t>Accounting</t>
        </is>
      </c>
      <c r="D1070" s="127" t="inlineStr">
        <is>
          <t>Financial Accounting</t>
        </is>
      </c>
      <c r="E1070" s="127" t="n">
        <v>3</v>
      </c>
      <c r="F1070" s="127" t="inlineStr">
        <is>
          <t>The Accounting Review; Journal of Accounting Research; Journal of Accounting &amp; Economics; Review of Accounting Studies</t>
        </is>
      </c>
    </row>
    <row r="1071" ht="37.5" customHeight="1" s="91">
      <c r="A1071" s="128" t="n">
        <v>40</v>
      </c>
      <c r="B1071" s="128" t="inlineStr">
        <is>
          <t>UW Foster</t>
        </is>
      </c>
      <c r="C1071" s="128" t="inlineStr">
        <is>
          <t>Accounting</t>
        </is>
      </c>
      <c r="D1071" s="128" t="inlineStr">
        <is>
          <t>Managerial Accounting</t>
        </is>
      </c>
      <c r="E1071" s="128" t="n">
        <v>2</v>
      </c>
      <c r="F1071" s="128" t="inlineStr">
        <is>
          <t>The Accounting Review; Journal of Accounting Research; Journal of Accounting &amp; Economics; Review of Accounting Studies</t>
        </is>
      </c>
    </row>
    <row r="1072" ht="37.5" customHeight="1" s="91">
      <c r="A1072" s="127" t="n">
        <v>40</v>
      </c>
      <c r="B1072" s="127" t="inlineStr">
        <is>
          <t>UW Foster</t>
        </is>
      </c>
      <c r="C1072" s="127" t="inlineStr">
        <is>
          <t>Accounting</t>
        </is>
      </c>
      <c r="D1072" s="127" t="inlineStr">
        <is>
          <t>Auditing &amp; Assurance</t>
        </is>
      </c>
      <c r="E1072" s="127" t="n">
        <v>2</v>
      </c>
      <c r="F1072" s="127" t="inlineStr">
        <is>
          <t>The Accounting Review; Journal of Accounting Research; Journal of Accounting &amp; Economics; Review of Accounting Studies</t>
        </is>
      </c>
    </row>
    <row r="1073" ht="37.5" customHeight="1" s="91">
      <c r="A1073" s="128" t="n">
        <v>40</v>
      </c>
      <c r="B1073" s="128" t="inlineStr">
        <is>
          <t>UW Foster</t>
        </is>
      </c>
      <c r="C1073" s="128" t="inlineStr">
        <is>
          <t>Accounting</t>
        </is>
      </c>
      <c r="D1073" s="128" t="inlineStr">
        <is>
          <t>Tax</t>
        </is>
      </c>
      <c r="E1073" s="128" t="n">
        <v>2</v>
      </c>
      <c r="F1073" s="128" t="inlineStr">
        <is>
          <t>The Accounting Review; Journal of Accounting Research; Journal of Accounting &amp; Economics; Review of Accounting Studies</t>
        </is>
      </c>
    </row>
    <row r="1074" ht="37.5" customHeight="1" s="91">
      <c r="A1074" s="127" t="n">
        <v>40</v>
      </c>
      <c r="B1074" s="127" t="inlineStr">
        <is>
          <t>UW Foster</t>
        </is>
      </c>
      <c r="C1074" s="127" t="inlineStr">
        <is>
          <t>Finance &amp; Business Economics</t>
        </is>
      </c>
      <c r="D1074" s="127" t="inlineStr">
        <is>
          <t>Corporate Finance</t>
        </is>
      </c>
      <c r="E1074" s="127" t="n">
        <v>3</v>
      </c>
      <c r="F1074" s="127" t="inlineStr">
        <is>
          <t>Journal of Finance; Review of Financial Studies; Journal of Financial Economics; Journal of Financial &amp; Quantitative Analysis</t>
        </is>
      </c>
    </row>
    <row r="1075" ht="37.5" customHeight="1" s="91">
      <c r="A1075" s="128" t="n">
        <v>40</v>
      </c>
      <c r="B1075" s="128" t="inlineStr">
        <is>
          <t>UW Foster</t>
        </is>
      </c>
      <c r="C1075" s="128" t="inlineStr">
        <is>
          <t>Finance &amp; Business Economics</t>
        </is>
      </c>
      <c r="D1075" s="128" t="inlineStr">
        <is>
          <t>Asset Pricing</t>
        </is>
      </c>
      <c r="E1075" s="128" t="n">
        <v>3</v>
      </c>
      <c r="F1075" s="128" t="inlineStr">
        <is>
          <t>Journal of Finance; Review of Financial Studies; Journal of Financial Economics; Journal of Financial &amp; Quantitative Analysis</t>
        </is>
      </c>
    </row>
    <row r="1076" ht="37.5" customHeight="1" s="91">
      <c r="A1076" s="127" t="n">
        <v>40</v>
      </c>
      <c r="B1076" s="127" t="inlineStr">
        <is>
          <t>UW Foster</t>
        </is>
      </c>
      <c r="C1076" s="127" t="inlineStr">
        <is>
          <t>Finance &amp; Business Economics</t>
        </is>
      </c>
      <c r="D1076" s="127" t="inlineStr">
        <is>
          <t>Banking &amp; Financial Institutions</t>
        </is>
      </c>
      <c r="E1076" s="127" t="n">
        <v>3</v>
      </c>
      <c r="F1076" s="127" t="inlineStr">
        <is>
          <t>Journal of Finance; Review of Financial Studies; Journal of Financial Economics; Journal of Financial &amp; Quantitative Analysis</t>
        </is>
      </c>
    </row>
    <row r="1077" ht="37.5" customHeight="1" s="91">
      <c r="A1077" s="128" t="n">
        <v>40</v>
      </c>
      <c r="B1077" s="128" t="inlineStr">
        <is>
          <t>UW Foster</t>
        </is>
      </c>
      <c r="C1077" s="128" t="inlineStr">
        <is>
          <t>Finance &amp; Business Economics</t>
        </is>
      </c>
      <c r="D1077" s="128" t="inlineStr">
        <is>
          <t>International Finance</t>
        </is>
      </c>
      <c r="E1077" s="128" t="n">
        <v>2</v>
      </c>
      <c r="F1077" s="128" t="inlineStr">
        <is>
          <t>Journal of Finance; Review of Financial Studies; Journal of Financial Economics; Journal of Financial &amp; Quantitative Analysis</t>
        </is>
      </c>
    </row>
    <row r="1078" ht="37.5" customHeight="1" s="91">
      <c r="A1078" s="127" t="n">
        <v>40</v>
      </c>
      <c r="B1078" s="127" t="inlineStr">
        <is>
          <t>UW Foster</t>
        </is>
      </c>
      <c r="C1078" s="127" t="inlineStr">
        <is>
          <t>Information Systems &amp; Operations Management</t>
        </is>
      </c>
      <c r="D1078" s="127" t="inlineStr">
        <is>
          <t>Supply Chain Management</t>
        </is>
      </c>
      <c r="E1078" s="127" t="n">
        <v>3</v>
      </c>
      <c r="F1078" s="127" t="inlineStr">
        <is>
          <t>Management Science; Operations Research; Manufacturing &amp; Service Operations Management; Production &amp; Operations Management</t>
        </is>
      </c>
    </row>
    <row r="1079" ht="37.5" customHeight="1" s="91">
      <c r="A1079" s="128" t="n">
        <v>40</v>
      </c>
      <c r="B1079" s="128" t="inlineStr">
        <is>
          <t>UW Foster</t>
        </is>
      </c>
      <c r="C1079" s="128" t="inlineStr">
        <is>
          <t>Information Systems &amp; Operations Management</t>
        </is>
      </c>
      <c r="D1079" s="128" t="inlineStr">
        <is>
          <t>Operations Research</t>
        </is>
      </c>
      <c r="E1079" s="128" t="n">
        <v>3</v>
      </c>
      <c r="F1079" s="128" t="inlineStr">
        <is>
          <t>Management Science; Operations Research; Manufacturing &amp; Service Operations Management; Production &amp; Operations Management</t>
        </is>
      </c>
    </row>
    <row r="1080" ht="37.5" customHeight="1" s="91">
      <c r="A1080" s="127" t="n">
        <v>40</v>
      </c>
      <c r="B1080" s="127" t="inlineStr">
        <is>
          <t>UW Foster</t>
        </is>
      </c>
      <c r="C1080" s="127" t="inlineStr">
        <is>
          <t>Information Systems &amp; Operations Management</t>
        </is>
      </c>
      <c r="D1080" s="127" t="inlineStr">
        <is>
          <t>Process Optimization</t>
        </is>
      </c>
      <c r="E1080" s="127" t="n">
        <v>2</v>
      </c>
      <c r="F1080" s="127" t="inlineStr">
        <is>
          <t>Management Science; Operations Research; Manufacturing &amp; Service Operations Management; Production &amp; Operations Management</t>
        </is>
      </c>
    </row>
    <row r="1081" ht="37.5" customHeight="1" s="91">
      <c r="A1081" s="128" t="n">
        <v>40</v>
      </c>
      <c r="B1081" s="128" t="inlineStr">
        <is>
          <t>UW Foster</t>
        </is>
      </c>
      <c r="C1081" s="128" t="inlineStr">
        <is>
          <t>Information Systems &amp; Operations Management</t>
        </is>
      </c>
      <c r="D1081" s="128" t="inlineStr">
        <is>
          <t>Analytics</t>
        </is>
      </c>
      <c r="E1081" s="128" t="n">
        <v>2</v>
      </c>
      <c r="F1081" s="128" t="inlineStr">
        <is>
          <t>Management Science; Operations Research; Manufacturing &amp; Service Operations Management; Production &amp; Operations Management</t>
        </is>
      </c>
    </row>
    <row r="1082" ht="37.5" customHeight="1" s="91">
      <c r="A1082" s="127" t="n">
        <v>40</v>
      </c>
      <c r="B1082" s="127" t="inlineStr">
        <is>
          <t>UW Foster</t>
        </is>
      </c>
      <c r="C1082" s="127" t="inlineStr">
        <is>
          <t>Management &amp; Organization</t>
        </is>
      </c>
      <c r="D1082" s="127" t="inlineStr">
        <is>
          <t>Organizational Behavior</t>
        </is>
      </c>
      <c r="E1082" s="127" t="n">
        <v>3</v>
      </c>
      <c r="F1082" s="127" t="inlineStr">
        <is>
          <t>Academy of Management Journal; Organization Science; Administrative Science Quarterly; Journal of Applied Psychology</t>
        </is>
      </c>
    </row>
    <row r="1083" ht="37.5" customHeight="1" s="91">
      <c r="A1083" s="128" t="n">
        <v>40</v>
      </c>
      <c r="B1083" s="128" t="inlineStr">
        <is>
          <t>UW Foster</t>
        </is>
      </c>
      <c r="C1083" s="128" t="inlineStr">
        <is>
          <t>Management &amp; Organization</t>
        </is>
      </c>
      <c r="D1083" s="128" t="inlineStr">
        <is>
          <t>Human Resources</t>
        </is>
      </c>
      <c r="E1083" s="128" t="n">
        <v>2</v>
      </c>
      <c r="F1083" s="128" t="inlineStr">
        <is>
          <t>Academy of Management Journal; Organization Science; Administrative Science Quarterly; Journal of Applied Psychology</t>
        </is>
      </c>
    </row>
    <row r="1084" ht="37.5" customHeight="1" s="91">
      <c r="A1084" s="127" t="n">
        <v>40</v>
      </c>
      <c r="B1084" s="127" t="inlineStr">
        <is>
          <t>UW Foster</t>
        </is>
      </c>
      <c r="C1084" s="127" t="inlineStr">
        <is>
          <t>Management &amp; Organization</t>
        </is>
      </c>
      <c r="D1084" s="127" t="inlineStr">
        <is>
          <t>Leadership &amp; Teams</t>
        </is>
      </c>
      <c r="E1084" s="127" t="n">
        <v>2</v>
      </c>
      <c r="F1084" s="127" t="inlineStr">
        <is>
          <t>Academy of Management Journal; Organization Science; Administrative Science Quarterly; Journal of Applied Psychology</t>
        </is>
      </c>
    </row>
    <row r="1085" ht="37.5" customHeight="1" s="91">
      <c r="A1085" s="128" t="n">
        <v>40</v>
      </c>
      <c r="B1085" s="128" t="inlineStr">
        <is>
          <t>UW Foster</t>
        </is>
      </c>
      <c r="C1085" s="128" t="inlineStr">
        <is>
          <t>Management &amp; Organization</t>
        </is>
      </c>
      <c r="D1085" s="128" t="inlineStr">
        <is>
          <t>Diversity &amp; Inclusion</t>
        </is>
      </c>
      <c r="E1085" s="128" t="n">
        <v>2</v>
      </c>
      <c r="F1085" s="128" t="inlineStr">
        <is>
          <t>Academy of Management Journal; Organization Science; Administrative Science Quarterly; Journal of Applied Psychology</t>
        </is>
      </c>
    </row>
    <row r="1086" ht="37.5" customHeight="1" s="91">
      <c r="A1086" s="127" t="n">
        <v>40</v>
      </c>
      <c r="B1086" s="127" t="inlineStr">
        <is>
          <t>UW Foster</t>
        </is>
      </c>
      <c r="C1086" s="127" t="inlineStr">
        <is>
          <t>Marketing &amp; International Business</t>
        </is>
      </c>
      <c r="D1086" s="127" t="inlineStr">
        <is>
          <t>Consumer Behavior</t>
        </is>
      </c>
      <c r="E1086" s="127" t="n">
        <v>3</v>
      </c>
      <c r="F1086" s="127" t="inlineStr">
        <is>
          <t>Journal of Marketing Research; Journal of Marketing; Marketing Science; Journal of Consumer Research</t>
        </is>
      </c>
    </row>
    <row r="1087" ht="37.5" customHeight="1" s="91">
      <c r="A1087" s="128" t="n">
        <v>40</v>
      </c>
      <c r="B1087" s="128" t="inlineStr">
        <is>
          <t>UW Foster</t>
        </is>
      </c>
      <c r="C1087" s="128" t="inlineStr">
        <is>
          <t>Marketing &amp; International Business</t>
        </is>
      </c>
      <c r="D1087" s="128" t="inlineStr">
        <is>
          <t>Marketing Analytics</t>
        </is>
      </c>
      <c r="E1087" s="128" t="n">
        <v>2</v>
      </c>
      <c r="F1087" s="128" t="inlineStr">
        <is>
          <t>Journal of Marketing Research; Journal of Marketing; Marketing Science; Journal of Consumer Research</t>
        </is>
      </c>
    </row>
    <row r="1088" ht="37.5" customHeight="1" s="91">
      <c r="A1088" s="127" t="n">
        <v>40</v>
      </c>
      <c r="B1088" s="127" t="inlineStr">
        <is>
          <t>UW Foster</t>
        </is>
      </c>
      <c r="C1088" s="127" t="inlineStr">
        <is>
          <t>Marketing &amp; International Business</t>
        </is>
      </c>
      <c r="D1088" s="127" t="inlineStr">
        <is>
          <t>Digital Marketing</t>
        </is>
      </c>
      <c r="E1088" s="127" t="n">
        <v>2</v>
      </c>
      <c r="F1088" s="127" t="inlineStr">
        <is>
          <t>Journal of Marketing Research; Journal of Marketing; Marketing Science; Journal of Consumer Research</t>
        </is>
      </c>
    </row>
    <row r="1089" ht="37.5" customHeight="1" s="91">
      <c r="A1089" s="128" t="n">
        <v>40</v>
      </c>
      <c r="B1089" s="128" t="inlineStr">
        <is>
          <t>UW Foster</t>
        </is>
      </c>
      <c r="C1089" s="128" t="inlineStr">
        <is>
          <t>Marketing &amp; International Business</t>
        </is>
      </c>
      <c r="D1089" s="128" t="inlineStr">
        <is>
          <t>Brand Management</t>
        </is>
      </c>
      <c r="E1089" s="128" t="n">
        <v>2</v>
      </c>
      <c r="F1089" s="128" t="inlineStr">
        <is>
          <t>Journal of Marketing Research; Journal of Marketing; Marketing Science; Journal of Consumer Research</t>
        </is>
      </c>
    </row>
    <row r="1090" ht="37.5" customHeight="1" s="91">
      <c r="A1090" s="127" t="n">
        <v>41</v>
      </c>
      <c r="B1090" s="127" t="inlineStr">
        <is>
          <t>Pitt Katz</t>
        </is>
      </c>
      <c r="C1090" s="127" t="inlineStr">
        <is>
          <t>Accounting</t>
        </is>
      </c>
      <c r="D1090" s="127" t="inlineStr">
        <is>
          <t>Financial Accounting</t>
        </is>
      </c>
      <c r="E1090" s="127" t="n">
        <v>2</v>
      </c>
      <c r="F1090" s="127" t="inlineStr">
        <is>
          <t>The Accounting Review; Journal of Accounting Research; Journal of Accounting &amp; Economics; Review of Accounting Studies</t>
        </is>
      </c>
    </row>
    <row r="1091" ht="37.5" customHeight="1" s="91">
      <c r="A1091" s="128" t="n">
        <v>41</v>
      </c>
      <c r="B1091" s="128" t="inlineStr">
        <is>
          <t>Pitt Katz</t>
        </is>
      </c>
      <c r="C1091" s="128" t="inlineStr">
        <is>
          <t>Accounting</t>
        </is>
      </c>
      <c r="D1091" s="128" t="inlineStr">
        <is>
          <t>Managerial Accounting</t>
        </is>
      </c>
      <c r="E1091" s="128" t="n">
        <v>2</v>
      </c>
      <c r="F1091" s="128" t="inlineStr">
        <is>
          <t>The Accounting Review; Journal of Accounting Research; Journal of Accounting &amp; Economics; Review of Accounting Studies</t>
        </is>
      </c>
    </row>
    <row r="1092" ht="37.5" customHeight="1" s="91">
      <c r="A1092" s="127" t="n">
        <v>41</v>
      </c>
      <c r="B1092" s="127" t="inlineStr">
        <is>
          <t>Pitt Katz</t>
        </is>
      </c>
      <c r="C1092" s="127" t="inlineStr">
        <is>
          <t>Accounting</t>
        </is>
      </c>
      <c r="D1092" s="127" t="inlineStr">
        <is>
          <t>Auditing &amp; Assurance</t>
        </is>
      </c>
      <c r="E1092" s="127" t="n">
        <v>2</v>
      </c>
      <c r="F1092" s="127" t="inlineStr">
        <is>
          <t>The Accounting Review; Journal of Accounting Research; Journal of Accounting &amp; Economics; Review of Accounting Studies</t>
        </is>
      </c>
    </row>
    <row r="1093" ht="37.5" customHeight="1" s="91">
      <c r="A1093" s="128" t="n">
        <v>41</v>
      </c>
      <c r="B1093" s="128" t="inlineStr">
        <is>
          <t>Pitt Katz</t>
        </is>
      </c>
      <c r="C1093" s="128" t="inlineStr">
        <is>
          <t>Accounting</t>
        </is>
      </c>
      <c r="D1093" s="128" t="inlineStr">
        <is>
          <t>Tax</t>
        </is>
      </c>
      <c r="E1093" s="128" t="n">
        <v>1</v>
      </c>
      <c r="F1093" s="128" t="inlineStr">
        <is>
          <t>The Accounting Review; Journal of Accounting Research; Journal of Accounting &amp; Economics; Review of Accounting Studies</t>
        </is>
      </c>
    </row>
    <row r="1094" ht="37.5" customHeight="1" s="91">
      <c r="A1094" s="127" t="n">
        <v>41</v>
      </c>
      <c r="B1094" s="127" t="inlineStr">
        <is>
          <t>Pitt Katz</t>
        </is>
      </c>
      <c r="C1094" s="127" t="inlineStr">
        <is>
          <t>Business Analytics &amp; Operations</t>
        </is>
      </c>
      <c r="D1094" s="127" t="inlineStr">
        <is>
          <t>Supply Chain Management</t>
        </is>
      </c>
      <c r="E1094" s="127" t="n">
        <v>2</v>
      </c>
      <c r="F1094" s="127" t="inlineStr">
        <is>
          <t>Management Science; Operations Research; Manufacturing &amp; Service Operations Management; Production &amp; Operations Management</t>
        </is>
      </c>
    </row>
    <row r="1095" ht="37.5" customHeight="1" s="91">
      <c r="A1095" s="128" t="n">
        <v>41</v>
      </c>
      <c r="B1095" s="128" t="inlineStr">
        <is>
          <t>Pitt Katz</t>
        </is>
      </c>
      <c r="C1095" s="128" t="inlineStr">
        <is>
          <t>Business Analytics &amp; Operations</t>
        </is>
      </c>
      <c r="D1095" s="128" t="inlineStr">
        <is>
          <t>Operations Research</t>
        </is>
      </c>
      <c r="E1095" s="128" t="n">
        <v>2</v>
      </c>
      <c r="F1095" s="128" t="inlineStr">
        <is>
          <t>Management Science; Operations Research; Manufacturing &amp; Service Operations Management; Production &amp; Operations Management</t>
        </is>
      </c>
    </row>
    <row r="1096" ht="37.5" customHeight="1" s="91">
      <c r="A1096" s="127" t="n">
        <v>41</v>
      </c>
      <c r="B1096" s="127" t="inlineStr">
        <is>
          <t>Pitt Katz</t>
        </is>
      </c>
      <c r="C1096" s="127" t="inlineStr">
        <is>
          <t>Business Analytics &amp; Operations</t>
        </is>
      </c>
      <c r="D1096" s="127" t="inlineStr">
        <is>
          <t>Process Optimization</t>
        </is>
      </c>
      <c r="E1096" s="127" t="n">
        <v>2</v>
      </c>
      <c r="F1096" s="127" t="inlineStr">
        <is>
          <t>Management Science; Operations Research; Manufacturing &amp; Service Operations Management; Production &amp; Operations Management</t>
        </is>
      </c>
    </row>
    <row r="1097" ht="37.5" customHeight="1" s="91">
      <c r="A1097" s="128" t="n">
        <v>41</v>
      </c>
      <c r="B1097" s="128" t="inlineStr">
        <is>
          <t>Pitt Katz</t>
        </is>
      </c>
      <c r="C1097" s="128" t="inlineStr">
        <is>
          <t>Business Analytics &amp; Operations</t>
        </is>
      </c>
      <c r="D1097" s="128" t="inlineStr">
        <is>
          <t>Analytics</t>
        </is>
      </c>
      <c r="E1097" s="128" t="n">
        <v>1</v>
      </c>
      <c r="F1097" s="128" t="inlineStr">
        <is>
          <t>Management Science; Operations Research; Manufacturing &amp; Service Operations Management; Production &amp; Operations Management</t>
        </is>
      </c>
    </row>
    <row r="1098" ht="37.5" customHeight="1" s="91">
      <c r="A1098" s="127" t="n">
        <v>41</v>
      </c>
      <c r="B1098" s="127" t="inlineStr">
        <is>
          <t>Pitt Katz</t>
        </is>
      </c>
      <c r="C1098" s="127" t="inlineStr">
        <is>
          <t>Finance</t>
        </is>
      </c>
      <c r="D1098" s="127" t="inlineStr">
        <is>
          <t>Corporate Finance</t>
        </is>
      </c>
      <c r="E1098" s="127" t="n">
        <v>2</v>
      </c>
      <c r="F1098" s="127" t="inlineStr">
        <is>
          <t>Journal of Finance; Review of Financial Studies; Journal of Financial Economics; Journal of Financial &amp; Quantitative Analysis</t>
        </is>
      </c>
    </row>
    <row r="1099" ht="37.5" customHeight="1" s="91">
      <c r="A1099" s="128" t="n">
        <v>41</v>
      </c>
      <c r="B1099" s="128" t="inlineStr">
        <is>
          <t>Pitt Katz</t>
        </is>
      </c>
      <c r="C1099" s="128" t="inlineStr">
        <is>
          <t>Finance</t>
        </is>
      </c>
      <c r="D1099" s="128" t="inlineStr">
        <is>
          <t>Asset Pricing</t>
        </is>
      </c>
      <c r="E1099" s="128" t="n">
        <v>2</v>
      </c>
      <c r="F1099" s="128" t="inlineStr">
        <is>
          <t>Journal of Finance; Review of Financial Studies; Journal of Financial Economics; Journal of Financial &amp; Quantitative Analysis</t>
        </is>
      </c>
    </row>
    <row r="1100" ht="37.5" customHeight="1" s="91">
      <c r="A1100" s="127" t="n">
        <v>41</v>
      </c>
      <c r="B1100" s="127" t="inlineStr">
        <is>
          <t>Pitt Katz</t>
        </is>
      </c>
      <c r="C1100" s="127" t="inlineStr">
        <is>
          <t>Finance</t>
        </is>
      </c>
      <c r="D1100" s="127" t="inlineStr">
        <is>
          <t>Banking &amp; Financial Institutions</t>
        </is>
      </c>
      <c r="E1100" s="127" t="n">
        <v>2</v>
      </c>
      <c r="F1100" s="127" t="inlineStr">
        <is>
          <t>Journal of Finance; Review of Financial Studies; Journal of Financial Economics; Journal of Financial &amp; Quantitative Analysis</t>
        </is>
      </c>
    </row>
    <row r="1101" ht="37.5" customHeight="1" s="91">
      <c r="A1101" s="128" t="n">
        <v>41</v>
      </c>
      <c r="B1101" s="128" t="inlineStr">
        <is>
          <t>Pitt Katz</t>
        </is>
      </c>
      <c r="C1101" s="128" t="inlineStr">
        <is>
          <t>Finance</t>
        </is>
      </c>
      <c r="D1101" s="128" t="inlineStr">
        <is>
          <t>International Finance</t>
        </is>
      </c>
      <c r="E1101" s="128" t="n">
        <v>2</v>
      </c>
      <c r="F1101" s="128" t="inlineStr">
        <is>
          <t>Journal of Finance; Review of Financial Studies; Journal of Financial Economics; Journal of Financial &amp; Quantitative Analysis</t>
        </is>
      </c>
    </row>
    <row r="1102" ht="37.5" customHeight="1" s="91">
      <c r="A1102" s="127" t="n">
        <v>41</v>
      </c>
      <c r="B1102" s="127" t="inlineStr">
        <is>
          <t>Pitt Katz</t>
        </is>
      </c>
      <c r="C1102" s="127" t="inlineStr">
        <is>
          <t>Information Systems &amp; Technology Management</t>
        </is>
      </c>
      <c r="D1102" s="127" t="inlineStr">
        <is>
          <t>Information Systems</t>
        </is>
      </c>
      <c r="E1102" s="127" t="n">
        <v>2</v>
      </c>
      <c r="F1102" s="127" t="inlineStr">
        <is>
          <t>Information Systems Research; MIS Quarterly; Journal of Management Information Systems; Decision Support Systems</t>
        </is>
      </c>
    </row>
    <row r="1103" ht="37.5" customHeight="1" s="91">
      <c r="A1103" s="128" t="n">
        <v>41</v>
      </c>
      <c r="B1103" s="128" t="inlineStr">
        <is>
          <t>Pitt Katz</t>
        </is>
      </c>
      <c r="C1103" s="128" t="inlineStr">
        <is>
          <t>Information Systems &amp; Technology Management</t>
        </is>
      </c>
      <c r="D1103" s="128" t="inlineStr">
        <is>
          <t>Business Analytics</t>
        </is>
      </c>
      <c r="E1103" s="128" t="n">
        <v>2</v>
      </c>
      <c r="F1103" s="128" t="inlineStr">
        <is>
          <t>Information Systems Research; MIS Quarterly; Journal of Management Information Systems; Decision Support Systems</t>
        </is>
      </c>
    </row>
    <row r="1104" ht="37.5" customHeight="1" s="91">
      <c r="A1104" s="127" t="n">
        <v>41</v>
      </c>
      <c r="B1104" s="127" t="inlineStr">
        <is>
          <t>Pitt Katz</t>
        </is>
      </c>
      <c r="C1104" s="127" t="inlineStr">
        <is>
          <t>Information Systems &amp; Technology Management</t>
        </is>
      </c>
      <c r="D1104" s="127" t="inlineStr">
        <is>
          <t>Technology Management</t>
        </is>
      </c>
      <c r="E1104" s="127" t="n">
        <v>2</v>
      </c>
      <c r="F1104" s="127" t="inlineStr">
        <is>
          <t>Information Systems Research; MIS Quarterly; Journal of Management Information Systems; Decision Support Systems</t>
        </is>
      </c>
    </row>
    <row r="1105" ht="37.5" customHeight="1" s="91">
      <c r="A1105" s="128" t="n">
        <v>41</v>
      </c>
      <c r="B1105" s="128" t="inlineStr">
        <is>
          <t>Pitt Katz</t>
        </is>
      </c>
      <c r="C1105" s="128" t="inlineStr">
        <is>
          <t>Information Systems &amp; Technology Management</t>
        </is>
      </c>
      <c r="D1105" s="128" t="inlineStr">
        <is>
          <t>Data Science</t>
        </is>
      </c>
      <c r="E1105" s="128" t="n">
        <v>1</v>
      </c>
      <c r="F1105" s="128" t="inlineStr">
        <is>
          <t>Information Systems Research; MIS Quarterly; Journal of Management Information Systems; Decision Support Systems</t>
        </is>
      </c>
    </row>
    <row r="1106" ht="37.5" customHeight="1" s="91">
      <c r="A1106" s="127" t="n">
        <v>41</v>
      </c>
      <c r="B1106" s="127" t="inlineStr">
        <is>
          <t>Pitt Katz</t>
        </is>
      </c>
      <c r="C1106" s="127" t="inlineStr">
        <is>
          <t>Marketing</t>
        </is>
      </c>
      <c r="D1106" s="127" t="inlineStr">
        <is>
          <t>Consumer Behavior</t>
        </is>
      </c>
      <c r="E1106" s="127" t="n">
        <v>2</v>
      </c>
      <c r="F1106" s="127" t="inlineStr">
        <is>
          <t>Journal of Marketing Research; Journal of Marketing; Marketing Science; Journal of Consumer Research</t>
        </is>
      </c>
    </row>
    <row r="1107" ht="37.5" customHeight="1" s="91">
      <c r="A1107" s="128" t="n">
        <v>41</v>
      </c>
      <c r="B1107" s="128" t="inlineStr">
        <is>
          <t>Pitt Katz</t>
        </is>
      </c>
      <c r="C1107" s="128" t="inlineStr">
        <is>
          <t>Marketing</t>
        </is>
      </c>
      <c r="D1107" s="128" t="inlineStr">
        <is>
          <t>Marketing Analytics</t>
        </is>
      </c>
      <c r="E1107" s="128" t="n">
        <v>2</v>
      </c>
      <c r="F1107" s="128" t="inlineStr">
        <is>
          <t>Journal of Marketing Research; Journal of Marketing; Marketing Science; Journal of Consumer Research</t>
        </is>
      </c>
    </row>
    <row r="1108" ht="37.5" customHeight="1" s="91">
      <c r="A1108" s="127" t="n">
        <v>41</v>
      </c>
      <c r="B1108" s="127" t="inlineStr">
        <is>
          <t>Pitt Katz</t>
        </is>
      </c>
      <c r="C1108" s="127" t="inlineStr">
        <is>
          <t>Marketing</t>
        </is>
      </c>
      <c r="D1108" s="127" t="inlineStr">
        <is>
          <t>Digital Marketing</t>
        </is>
      </c>
      <c r="E1108" s="127" t="n">
        <v>2</v>
      </c>
      <c r="F1108" s="127" t="inlineStr">
        <is>
          <t>Journal of Marketing Research; Journal of Marketing; Marketing Science; Journal of Consumer Research</t>
        </is>
      </c>
    </row>
    <row r="1109" ht="37.5" customHeight="1" s="91">
      <c r="A1109" s="128" t="n">
        <v>41</v>
      </c>
      <c r="B1109" s="128" t="inlineStr">
        <is>
          <t>Pitt Katz</t>
        </is>
      </c>
      <c r="C1109" s="128" t="inlineStr">
        <is>
          <t>Marketing</t>
        </is>
      </c>
      <c r="D1109" s="128" t="inlineStr">
        <is>
          <t>Brand Management</t>
        </is>
      </c>
      <c r="E1109" s="128" t="n">
        <v>1</v>
      </c>
      <c r="F1109" s="128" t="inlineStr">
        <is>
          <t>Journal of Marketing Research; Journal of Marketing; Marketing Science; Journal of Consumer Research</t>
        </is>
      </c>
    </row>
    <row r="1110" ht="37.5" customHeight="1" s="91">
      <c r="A1110" s="127" t="n">
        <v>41</v>
      </c>
      <c r="B1110" s="127" t="inlineStr">
        <is>
          <t>Pitt Katz</t>
        </is>
      </c>
      <c r="C1110" s="127" t="inlineStr">
        <is>
          <t>Organizational Behavior &amp; Human Resources</t>
        </is>
      </c>
      <c r="D1110" s="127" t="inlineStr">
        <is>
          <t>Organizational Behavior</t>
        </is>
      </c>
      <c r="E1110" s="127" t="n">
        <v>2</v>
      </c>
      <c r="F1110" s="127" t="inlineStr">
        <is>
          <t>Academy of Management Journal; Organization Science; Administrative Science Quarterly; Journal of Applied Psychology</t>
        </is>
      </c>
    </row>
    <row r="1111" ht="37.5" customHeight="1" s="91">
      <c r="A1111" s="128" t="n">
        <v>41</v>
      </c>
      <c r="B1111" s="128" t="inlineStr">
        <is>
          <t>Pitt Katz</t>
        </is>
      </c>
      <c r="C1111" s="128" t="inlineStr">
        <is>
          <t>Organizational Behavior &amp; Human Resources</t>
        </is>
      </c>
      <c r="D1111" s="128" t="inlineStr">
        <is>
          <t>Human Resources</t>
        </is>
      </c>
      <c r="E1111" s="128" t="n">
        <v>2</v>
      </c>
      <c r="F1111" s="128" t="inlineStr">
        <is>
          <t>Academy of Management Journal; Organization Science; Administrative Science Quarterly; Journal of Applied Psychology</t>
        </is>
      </c>
    </row>
    <row r="1112" ht="37.5" customHeight="1" s="91">
      <c r="A1112" s="127" t="n">
        <v>41</v>
      </c>
      <c r="B1112" s="127" t="inlineStr">
        <is>
          <t>Pitt Katz</t>
        </is>
      </c>
      <c r="C1112" s="127" t="inlineStr">
        <is>
          <t>Organizational Behavior &amp; Human Resources</t>
        </is>
      </c>
      <c r="D1112" s="127" t="inlineStr">
        <is>
          <t>Leadership &amp; Teams</t>
        </is>
      </c>
      <c r="E1112" s="127" t="n">
        <v>2</v>
      </c>
      <c r="F1112" s="127" t="inlineStr">
        <is>
          <t>Academy of Management Journal; Organization Science; Administrative Science Quarterly; Journal of Applied Psychology</t>
        </is>
      </c>
    </row>
    <row r="1113" ht="37.5" customHeight="1" s="91">
      <c r="A1113" s="128" t="n">
        <v>41</v>
      </c>
      <c r="B1113" s="128" t="inlineStr">
        <is>
          <t>Pitt Katz</t>
        </is>
      </c>
      <c r="C1113" s="128" t="inlineStr">
        <is>
          <t>Organizational Behavior &amp; Human Resources</t>
        </is>
      </c>
      <c r="D1113" s="128" t="inlineStr">
        <is>
          <t>Diversity &amp; Inclusion</t>
        </is>
      </c>
      <c r="E1113" s="128" t="n">
        <v>1</v>
      </c>
      <c r="F1113" s="128" t="inlineStr">
        <is>
          <t>Academy of Management Journal; Organization Science; Administrative Science Quarterly; Journal of Applied Psychology</t>
        </is>
      </c>
    </row>
    <row r="1114" ht="37.5" customHeight="1" s="91">
      <c r="A1114" s="127" t="n">
        <v>41</v>
      </c>
      <c r="B1114" s="127" t="inlineStr">
        <is>
          <t>Pitt Katz</t>
        </is>
      </c>
      <c r="C1114" s="127" t="inlineStr">
        <is>
          <t>Strategic Management</t>
        </is>
      </c>
      <c r="D1114" s="127" t="inlineStr">
        <is>
          <t>Competitive Strategy</t>
        </is>
      </c>
      <c r="E1114" s="127" t="n">
        <v>2</v>
      </c>
      <c r="F1114" s="127" t="inlineStr">
        <is>
          <t>Strategic Management Journal; Academy of Management Review; Organization Science; Journal of Economics &amp; Management Strategy</t>
        </is>
      </c>
    </row>
    <row r="1115" ht="37.5" customHeight="1" s="91">
      <c r="A1115" s="128" t="n">
        <v>41</v>
      </c>
      <c r="B1115" s="128" t="inlineStr">
        <is>
          <t>Pitt Katz</t>
        </is>
      </c>
      <c r="C1115" s="128" t="inlineStr">
        <is>
          <t>Strategic Management</t>
        </is>
      </c>
      <c r="D1115" s="128" t="inlineStr">
        <is>
          <t>Corporate Strategy</t>
        </is>
      </c>
      <c r="E1115" s="128" t="n">
        <v>2</v>
      </c>
      <c r="F1115" s="128" t="inlineStr">
        <is>
          <t>Strategic Management Journal; Academy of Management Review; Organization Science; Journal of Economics &amp; Management Strategy</t>
        </is>
      </c>
    </row>
    <row r="1116" ht="37.5" customHeight="1" s="91">
      <c r="A1116" s="127" t="n">
        <v>41</v>
      </c>
      <c r="B1116" s="127" t="inlineStr">
        <is>
          <t>Pitt Katz</t>
        </is>
      </c>
      <c r="C1116" s="127" t="inlineStr">
        <is>
          <t>Strategic Management</t>
        </is>
      </c>
      <c r="D1116" s="127" t="inlineStr">
        <is>
          <t>Innovation</t>
        </is>
      </c>
      <c r="E1116" s="127" t="n">
        <v>2</v>
      </c>
      <c r="F1116" s="127" t="inlineStr">
        <is>
          <t>Strategic Management Journal; Academy of Management Review; Organization Science; Journal of Economics &amp; Management Strategy</t>
        </is>
      </c>
    </row>
    <row r="1117" ht="37.5" customHeight="1" s="91">
      <c r="A1117" s="128" t="n">
        <v>41</v>
      </c>
      <c r="B1117" s="128" t="inlineStr">
        <is>
          <t>Pitt Katz</t>
        </is>
      </c>
      <c r="C1117" s="128" t="inlineStr">
        <is>
          <t>Strategic Management</t>
        </is>
      </c>
      <c r="D1117" s="128" t="inlineStr">
        <is>
          <t>Strategic Management</t>
        </is>
      </c>
      <c r="E1117" s="128" t="n">
        <v>2</v>
      </c>
      <c r="F1117" s="128" t="inlineStr">
        <is>
          <t>Strategic Management Journal; Academy of Management Review; Organization Science; Journal of Economics &amp; Management Strategy</t>
        </is>
      </c>
    </row>
    <row r="1118" ht="37.5" customHeight="1" s="91">
      <c r="A1118" s="127" t="n">
        <v>42</v>
      </c>
      <c r="B1118" s="127" t="inlineStr">
        <is>
          <t>NEU DAmore-McKim</t>
        </is>
      </c>
      <c r="C1118" s="127" t="inlineStr">
        <is>
          <t>Accounting</t>
        </is>
      </c>
      <c r="D1118" s="127" t="inlineStr">
        <is>
          <t>Financial Accounting</t>
        </is>
      </c>
      <c r="E1118" s="127" t="n">
        <v>2</v>
      </c>
      <c r="F1118" s="127" t="inlineStr">
        <is>
          <t>The Accounting Review; Journal of Accounting Research; Journal of Accounting &amp; Economics; Review of Accounting Studies</t>
        </is>
      </c>
    </row>
    <row r="1119" ht="37.5" customHeight="1" s="91">
      <c r="A1119" s="128" t="n">
        <v>42</v>
      </c>
      <c r="B1119" s="128" t="inlineStr">
        <is>
          <t>NEU DAmore-McKim</t>
        </is>
      </c>
      <c r="C1119" s="128" t="inlineStr">
        <is>
          <t>Accounting</t>
        </is>
      </c>
      <c r="D1119" s="128" t="inlineStr">
        <is>
          <t>Managerial Accounting</t>
        </is>
      </c>
      <c r="E1119" s="128" t="n">
        <v>2</v>
      </c>
      <c r="F1119" s="128" t="inlineStr">
        <is>
          <t>The Accounting Review; Journal of Accounting Research; Journal of Accounting &amp; Economics; Review of Accounting Studies</t>
        </is>
      </c>
    </row>
    <row r="1120" ht="37.5" customHeight="1" s="91">
      <c r="A1120" s="127" t="n">
        <v>42</v>
      </c>
      <c r="B1120" s="127" t="inlineStr">
        <is>
          <t>NEU DAmore-McKim</t>
        </is>
      </c>
      <c r="C1120" s="127" t="inlineStr">
        <is>
          <t>Accounting</t>
        </is>
      </c>
      <c r="D1120" s="127" t="inlineStr">
        <is>
          <t>Auditing &amp; Assurance</t>
        </is>
      </c>
      <c r="E1120" s="127" t="n">
        <v>1</v>
      </c>
      <c r="F1120" s="127" t="inlineStr">
        <is>
          <t>The Accounting Review; Journal of Accounting Research; Journal of Accounting &amp; Economics; Review of Accounting Studies</t>
        </is>
      </c>
    </row>
    <row r="1121" ht="37.5" customHeight="1" s="91">
      <c r="A1121" s="128" t="n">
        <v>42</v>
      </c>
      <c r="B1121" s="128" t="inlineStr">
        <is>
          <t>NEU DAmore-McKim</t>
        </is>
      </c>
      <c r="C1121" s="128" t="inlineStr">
        <is>
          <t>Accounting</t>
        </is>
      </c>
      <c r="D1121" s="128" t="inlineStr">
        <is>
          <t>Tax</t>
        </is>
      </c>
      <c r="E1121" s="128" t="n">
        <v>1</v>
      </c>
      <c r="F1121" s="128" t="inlineStr">
        <is>
          <t>The Accounting Review; Journal of Accounting Research; Journal of Accounting &amp; Economics; Review of Accounting Studies</t>
        </is>
      </c>
    </row>
    <row r="1122" ht="37.5" customHeight="1" s="91">
      <c r="A1122" s="127" t="n">
        <v>42</v>
      </c>
      <c r="B1122" s="127" t="inlineStr">
        <is>
          <t>NEU DAmore-McKim</t>
        </is>
      </c>
      <c r="C1122" s="127" t="inlineStr">
        <is>
          <t>Economics</t>
        </is>
      </c>
      <c r="D1122" s="127" t="inlineStr">
        <is>
          <t>Microeconomics</t>
        </is>
      </c>
      <c r="E1122" s="127" t="n">
        <v>2</v>
      </c>
      <c r="F1122" s="127" t="inlineStr">
        <is>
          <t>American Economic Review; Econometrica; Quarterly Journal of Economics; Review of Economic Studies</t>
        </is>
      </c>
    </row>
    <row r="1123" ht="37.5" customHeight="1" s="91">
      <c r="A1123" s="128" t="n">
        <v>42</v>
      </c>
      <c r="B1123" s="128" t="inlineStr">
        <is>
          <t>NEU DAmore-McKim</t>
        </is>
      </c>
      <c r="C1123" s="128" t="inlineStr">
        <is>
          <t>Economics</t>
        </is>
      </c>
      <c r="D1123" s="128" t="inlineStr">
        <is>
          <t>Macroeconomics</t>
        </is>
      </c>
      <c r="E1123" s="128" t="n">
        <v>2</v>
      </c>
      <c r="F1123" s="128" t="inlineStr">
        <is>
          <t>American Economic Review; Econometrica; Quarterly Journal of Economics; Review of Economic Studies</t>
        </is>
      </c>
    </row>
    <row r="1124" ht="37.5" customHeight="1" s="91">
      <c r="A1124" s="127" t="n">
        <v>42</v>
      </c>
      <c r="B1124" s="127" t="inlineStr">
        <is>
          <t>NEU DAmore-McKim</t>
        </is>
      </c>
      <c r="C1124" s="127" t="inlineStr">
        <is>
          <t>Economics</t>
        </is>
      </c>
      <c r="D1124" s="127" t="inlineStr">
        <is>
          <t>Applied Economics</t>
        </is>
      </c>
      <c r="E1124" s="127" t="n">
        <v>1</v>
      </c>
      <c r="F1124" s="127" t="inlineStr">
        <is>
          <t>American Economic Review; Econometrica; Quarterly Journal of Economics; Review of Economic Studies</t>
        </is>
      </c>
    </row>
    <row r="1125" ht="37.5" customHeight="1" s="91">
      <c r="A1125" s="128" t="n">
        <v>42</v>
      </c>
      <c r="B1125" s="128" t="inlineStr">
        <is>
          <t>NEU DAmore-McKim</t>
        </is>
      </c>
      <c r="C1125" s="128" t="inlineStr">
        <is>
          <t>Economics</t>
        </is>
      </c>
      <c r="D1125" s="128" t="inlineStr">
        <is>
          <t>Industrial Organization</t>
        </is>
      </c>
      <c r="E1125" s="128" t="n">
        <v>1</v>
      </c>
      <c r="F1125" s="128" t="inlineStr">
        <is>
          <t>American Economic Review; Econometrica; Quarterly Journal of Economics; Review of Economic Studies</t>
        </is>
      </c>
    </row>
    <row r="1126" ht="37.5" customHeight="1" s="91">
      <c r="A1126" s="127" t="n">
        <v>42</v>
      </c>
      <c r="B1126" s="127" t="inlineStr">
        <is>
          <t>NEU DAmore-McKim</t>
        </is>
      </c>
      <c r="C1126" s="127" t="inlineStr">
        <is>
          <t>Finance</t>
        </is>
      </c>
      <c r="D1126" s="127" t="inlineStr">
        <is>
          <t>Corporate Finance</t>
        </is>
      </c>
      <c r="E1126" s="127" t="n">
        <v>2</v>
      </c>
      <c r="F1126" s="127" t="inlineStr">
        <is>
          <t>Journal of Finance; Review of Financial Studies; Journal of Financial Economics; Journal of Financial &amp; Quantitative Analysis</t>
        </is>
      </c>
    </row>
    <row r="1127" ht="37.5" customHeight="1" s="91">
      <c r="A1127" s="128" t="n">
        <v>42</v>
      </c>
      <c r="B1127" s="128" t="inlineStr">
        <is>
          <t>NEU DAmore-McKim</t>
        </is>
      </c>
      <c r="C1127" s="128" t="inlineStr">
        <is>
          <t>Finance</t>
        </is>
      </c>
      <c r="D1127" s="128" t="inlineStr">
        <is>
          <t>Asset Pricing</t>
        </is>
      </c>
      <c r="E1127" s="128" t="n">
        <v>2</v>
      </c>
      <c r="F1127" s="128" t="inlineStr">
        <is>
          <t>Journal of Finance; Review of Financial Studies; Journal of Financial Economics; Journal of Financial &amp; Quantitative Analysis</t>
        </is>
      </c>
    </row>
    <row r="1128" ht="37.5" customHeight="1" s="91">
      <c r="A1128" s="127" t="n">
        <v>42</v>
      </c>
      <c r="B1128" s="127" t="inlineStr">
        <is>
          <t>NEU DAmore-McKim</t>
        </is>
      </c>
      <c r="C1128" s="127" t="inlineStr">
        <is>
          <t>Finance</t>
        </is>
      </c>
      <c r="D1128" s="127" t="inlineStr">
        <is>
          <t>Banking &amp; Financial Institutions</t>
        </is>
      </c>
      <c r="E1128" s="127" t="n">
        <v>2</v>
      </c>
      <c r="F1128" s="127" t="inlineStr">
        <is>
          <t>Journal of Finance; Review of Financial Studies; Journal of Financial Economics; Journal of Financial &amp; Quantitative Analysis</t>
        </is>
      </c>
    </row>
    <row r="1129" ht="37.5" customHeight="1" s="91">
      <c r="A1129" s="128" t="n">
        <v>42</v>
      </c>
      <c r="B1129" s="128" t="inlineStr">
        <is>
          <t>NEU DAmore-McKim</t>
        </is>
      </c>
      <c r="C1129" s="128" t="inlineStr">
        <is>
          <t>Finance</t>
        </is>
      </c>
      <c r="D1129" s="128" t="inlineStr">
        <is>
          <t>International Finance</t>
        </is>
      </c>
      <c r="E1129" s="128" t="n">
        <v>2</v>
      </c>
      <c r="F1129" s="128" t="inlineStr">
        <is>
          <t>Journal of Finance; Review of Financial Studies; Journal of Financial Economics; Journal of Financial &amp; Quantitative Analysis</t>
        </is>
      </c>
    </row>
    <row r="1130" ht="37.5" customHeight="1" s="91">
      <c r="A1130" s="127" t="n">
        <v>42</v>
      </c>
      <c r="B1130" s="127" t="inlineStr">
        <is>
          <t>NEU DAmore-McKim</t>
        </is>
      </c>
      <c r="C1130" s="127" t="inlineStr">
        <is>
          <t>Management &amp; Organizational Development</t>
        </is>
      </c>
      <c r="D1130" s="127" t="inlineStr">
        <is>
          <t>Organizational Behavior</t>
        </is>
      </c>
      <c r="E1130" s="127" t="n">
        <v>2</v>
      </c>
      <c r="F1130" s="127" t="inlineStr">
        <is>
          <t>Academy of Management Journal; Organization Science; Administrative Science Quarterly; Journal of Applied Psychology</t>
        </is>
      </c>
    </row>
    <row r="1131" ht="37.5" customHeight="1" s="91">
      <c r="A1131" s="128" t="n">
        <v>42</v>
      </c>
      <c r="B1131" s="128" t="inlineStr">
        <is>
          <t>NEU DAmore-McKim</t>
        </is>
      </c>
      <c r="C1131" s="128" t="inlineStr">
        <is>
          <t>Management &amp; Organizational Development</t>
        </is>
      </c>
      <c r="D1131" s="128" t="inlineStr">
        <is>
          <t>Human Resources</t>
        </is>
      </c>
      <c r="E1131" s="128" t="n">
        <v>2</v>
      </c>
      <c r="F1131" s="128" t="inlineStr">
        <is>
          <t>Academy of Management Journal; Organization Science; Administrative Science Quarterly; Journal of Applied Psychology</t>
        </is>
      </c>
    </row>
    <row r="1132" ht="37.5" customHeight="1" s="91">
      <c r="A1132" s="127" t="n">
        <v>42</v>
      </c>
      <c r="B1132" s="127" t="inlineStr">
        <is>
          <t>NEU DAmore-McKim</t>
        </is>
      </c>
      <c r="C1132" s="127" t="inlineStr">
        <is>
          <t>Management &amp; Organizational Development</t>
        </is>
      </c>
      <c r="D1132" s="127" t="inlineStr">
        <is>
          <t>Leadership &amp; Teams</t>
        </is>
      </c>
      <c r="E1132" s="127" t="n">
        <v>2</v>
      </c>
      <c r="F1132" s="127" t="inlineStr">
        <is>
          <t>Academy of Management Journal; Organization Science; Administrative Science Quarterly; Journal of Applied Psychology</t>
        </is>
      </c>
    </row>
    <row r="1133" ht="37.5" customHeight="1" s="91">
      <c r="A1133" s="128" t="n">
        <v>42</v>
      </c>
      <c r="B1133" s="128" t="inlineStr">
        <is>
          <t>NEU DAmore-McKim</t>
        </is>
      </c>
      <c r="C1133" s="128" t="inlineStr">
        <is>
          <t>Management &amp; Organizational Development</t>
        </is>
      </c>
      <c r="D1133" s="128" t="inlineStr">
        <is>
          <t>Diversity &amp; Inclusion</t>
        </is>
      </c>
      <c r="E1133" s="128" t="n">
        <v>1</v>
      </c>
      <c r="F1133" s="128" t="inlineStr">
        <is>
          <t>Academy of Management Journal; Organization Science; Administrative Science Quarterly; Journal of Applied Psychology</t>
        </is>
      </c>
    </row>
    <row r="1134" ht="37.5" customHeight="1" s="91">
      <c r="A1134" s="127" t="n">
        <v>42</v>
      </c>
      <c r="B1134" s="127" t="inlineStr">
        <is>
          <t>NEU DAmore-McKim</t>
        </is>
      </c>
      <c r="C1134" s="127" t="inlineStr">
        <is>
          <t>Management Information Systems</t>
        </is>
      </c>
      <c r="D1134" s="127" t="inlineStr">
        <is>
          <t>Information Systems</t>
        </is>
      </c>
      <c r="E1134" s="127" t="n">
        <v>2</v>
      </c>
      <c r="F1134" s="127" t="inlineStr">
        <is>
          <t>Information Systems Research; MIS Quarterly; Journal of Management Information Systems; Decision Support Systems</t>
        </is>
      </c>
    </row>
    <row r="1135" ht="37.5" customHeight="1" s="91">
      <c r="A1135" s="128" t="n">
        <v>42</v>
      </c>
      <c r="B1135" s="128" t="inlineStr">
        <is>
          <t>NEU DAmore-McKim</t>
        </is>
      </c>
      <c r="C1135" s="128" t="inlineStr">
        <is>
          <t>Management Information Systems</t>
        </is>
      </c>
      <c r="D1135" s="128" t="inlineStr">
        <is>
          <t>Business Analytics</t>
        </is>
      </c>
      <c r="E1135" s="128" t="n">
        <v>2</v>
      </c>
      <c r="F1135" s="128" t="inlineStr">
        <is>
          <t>Information Systems Research; MIS Quarterly; Journal of Management Information Systems; Decision Support Systems</t>
        </is>
      </c>
    </row>
    <row r="1136" ht="37.5" customHeight="1" s="91">
      <c r="A1136" s="127" t="n">
        <v>42</v>
      </c>
      <c r="B1136" s="127" t="inlineStr">
        <is>
          <t>NEU DAmore-McKim</t>
        </is>
      </c>
      <c r="C1136" s="127" t="inlineStr">
        <is>
          <t>Management Information Systems</t>
        </is>
      </c>
      <c r="D1136" s="127" t="inlineStr">
        <is>
          <t>Technology Management</t>
        </is>
      </c>
      <c r="E1136" s="127" t="n">
        <v>1</v>
      </c>
      <c r="F1136" s="127" t="inlineStr">
        <is>
          <t>Information Systems Research; MIS Quarterly; Journal of Management Information Systems; Decision Support Systems</t>
        </is>
      </c>
    </row>
    <row r="1137" ht="37.5" customHeight="1" s="91">
      <c r="A1137" s="128" t="n">
        <v>42</v>
      </c>
      <c r="B1137" s="128" t="inlineStr">
        <is>
          <t>NEU DAmore-McKim</t>
        </is>
      </c>
      <c r="C1137" s="128" t="inlineStr">
        <is>
          <t>Management Information Systems</t>
        </is>
      </c>
      <c r="D1137" s="128" t="inlineStr">
        <is>
          <t>Data Science</t>
        </is>
      </c>
      <c r="E1137" s="128" t="n">
        <v>1</v>
      </c>
      <c r="F1137" s="128" t="inlineStr">
        <is>
          <t>Information Systems Research; MIS Quarterly; Journal of Management Information Systems; Decision Support Systems</t>
        </is>
      </c>
    </row>
    <row r="1138" ht="37.5" customHeight="1" s="91">
      <c r="A1138" s="127" t="n">
        <v>42</v>
      </c>
      <c r="B1138" s="127" t="inlineStr">
        <is>
          <t>NEU DAmore-McKim</t>
        </is>
      </c>
      <c r="C1138" s="127" t="inlineStr">
        <is>
          <t>Marketing</t>
        </is>
      </c>
      <c r="D1138" s="127" t="inlineStr">
        <is>
          <t>Consumer Behavior</t>
        </is>
      </c>
      <c r="E1138" s="127" t="n">
        <v>2</v>
      </c>
      <c r="F1138" s="127" t="inlineStr">
        <is>
          <t>Journal of Marketing Research; Journal of Marketing; Marketing Science; Journal of Consumer Research</t>
        </is>
      </c>
    </row>
    <row r="1139" ht="37.5" customHeight="1" s="91">
      <c r="A1139" s="128" t="n">
        <v>42</v>
      </c>
      <c r="B1139" s="128" t="inlineStr">
        <is>
          <t>NEU DAmore-McKim</t>
        </is>
      </c>
      <c r="C1139" s="128" t="inlineStr">
        <is>
          <t>Marketing</t>
        </is>
      </c>
      <c r="D1139" s="128" t="inlineStr">
        <is>
          <t>Marketing Analytics</t>
        </is>
      </c>
      <c r="E1139" s="128" t="n">
        <v>2</v>
      </c>
      <c r="F1139" s="128" t="inlineStr">
        <is>
          <t>Journal of Marketing Research; Journal of Marketing; Marketing Science; Journal of Consumer Research</t>
        </is>
      </c>
    </row>
    <row r="1140" ht="37.5" customHeight="1" s="91">
      <c r="A1140" s="127" t="n">
        <v>42</v>
      </c>
      <c r="B1140" s="127" t="inlineStr">
        <is>
          <t>NEU DAmore-McKim</t>
        </is>
      </c>
      <c r="C1140" s="127" t="inlineStr">
        <is>
          <t>Marketing</t>
        </is>
      </c>
      <c r="D1140" s="127" t="inlineStr">
        <is>
          <t>Digital Marketing</t>
        </is>
      </c>
      <c r="E1140" s="127" t="n">
        <v>1</v>
      </c>
      <c r="F1140" s="127" t="inlineStr">
        <is>
          <t>Journal of Marketing Research; Journal of Marketing; Marketing Science; Journal of Consumer Research</t>
        </is>
      </c>
    </row>
    <row r="1141" ht="37.5" customHeight="1" s="91">
      <c r="A1141" s="128" t="n">
        <v>42</v>
      </c>
      <c r="B1141" s="128" t="inlineStr">
        <is>
          <t>NEU DAmore-McKim</t>
        </is>
      </c>
      <c r="C1141" s="128" t="inlineStr">
        <is>
          <t>Marketing</t>
        </is>
      </c>
      <c r="D1141" s="128" t="inlineStr">
        <is>
          <t>Brand Management</t>
        </is>
      </c>
      <c r="E1141" s="128" t="n">
        <v>1</v>
      </c>
      <c r="F1141" s="128" t="inlineStr">
        <is>
          <t>Journal of Marketing Research; Journal of Marketing; Marketing Science; Journal of Consumer Research</t>
        </is>
      </c>
    </row>
    <row r="1142" ht="37.5" customHeight="1" s="91">
      <c r="A1142" s="127" t="n">
        <v>42</v>
      </c>
      <c r="B1142" s="127" t="inlineStr">
        <is>
          <t>NEU DAmore-McKim</t>
        </is>
      </c>
      <c r="C1142" s="127" t="inlineStr">
        <is>
          <t>Supply Chain &amp; Operations Management</t>
        </is>
      </c>
      <c r="D1142" s="127" t="inlineStr">
        <is>
          <t>Supply Chain Management</t>
        </is>
      </c>
      <c r="E1142" s="127" t="n">
        <v>2</v>
      </c>
      <c r="F1142" s="127" t="inlineStr">
        <is>
          <t>Management Science; Operations Research; Manufacturing &amp; Service Operations Management; Production &amp; Operations Management</t>
        </is>
      </c>
    </row>
    <row r="1143" ht="37.5" customHeight="1" s="91">
      <c r="A1143" s="128" t="n">
        <v>42</v>
      </c>
      <c r="B1143" s="128" t="inlineStr">
        <is>
          <t>NEU DAmore-McKim</t>
        </is>
      </c>
      <c r="C1143" s="128" t="inlineStr">
        <is>
          <t>Supply Chain &amp; Operations Management</t>
        </is>
      </c>
      <c r="D1143" s="128" t="inlineStr">
        <is>
          <t>Operations Research</t>
        </is>
      </c>
      <c r="E1143" s="128" t="n">
        <v>2</v>
      </c>
      <c r="F1143" s="128" t="inlineStr">
        <is>
          <t>Management Science; Operations Research; Manufacturing &amp; Service Operations Management; Production &amp; Operations Management</t>
        </is>
      </c>
    </row>
    <row r="1144" ht="37.5" customHeight="1" s="91">
      <c r="A1144" s="127" t="n">
        <v>42</v>
      </c>
      <c r="B1144" s="127" t="inlineStr">
        <is>
          <t>NEU DAmore-McKim</t>
        </is>
      </c>
      <c r="C1144" s="127" t="inlineStr">
        <is>
          <t>Supply Chain &amp; Operations Management</t>
        </is>
      </c>
      <c r="D1144" s="127" t="inlineStr">
        <is>
          <t>Process Optimization</t>
        </is>
      </c>
      <c r="E1144" s="127" t="n">
        <v>2</v>
      </c>
      <c r="F1144" s="127" t="inlineStr">
        <is>
          <t>Management Science; Operations Research; Manufacturing &amp; Service Operations Management; Production &amp; Operations Management</t>
        </is>
      </c>
    </row>
    <row r="1145" ht="37.5" customHeight="1" s="91">
      <c r="A1145" s="128" t="n">
        <v>42</v>
      </c>
      <c r="B1145" s="128" t="inlineStr">
        <is>
          <t>NEU DAmore-McKim</t>
        </is>
      </c>
      <c r="C1145" s="128" t="inlineStr">
        <is>
          <t>Supply Chain &amp; Operations Management</t>
        </is>
      </c>
      <c r="D1145" s="128" t="inlineStr">
        <is>
          <t>Analytics</t>
        </is>
      </c>
      <c r="E1145" s="128" t="n">
        <v>1</v>
      </c>
      <c r="F1145" s="128" t="inlineStr">
        <is>
          <t>Management Science; Operations Research; Manufacturing &amp; Service Operations Management; Production &amp; Operations Management</t>
        </is>
      </c>
    </row>
    <row r="1146" ht="37.5" customHeight="1" s="91">
      <c r="A1146" s="127" t="n">
        <v>43</v>
      </c>
      <c r="B1146" s="127" t="inlineStr">
        <is>
          <t>Tulane Freeman</t>
        </is>
      </c>
      <c r="C1146" s="127" t="inlineStr">
        <is>
          <t>Accounting</t>
        </is>
      </c>
      <c r="D1146" s="127" t="inlineStr">
        <is>
          <t>Financial Accounting</t>
        </is>
      </c>
      <c r="E1146" s="127" t="n">
        <v>3</v>
      </c>
      <c r="F1146" s="127" t="inlineStr">
        <is>
          <t>The Accounting Review; Journal of Accounting Research; Journal of Accounting &amp; Economics; Review of Accounting Studies</t>
        </is>
      </c>
    </row>
    <row r="1147" ht="37.5" customHeight="1" s="91">
      <c r="A1147" s="128" t="n">
        <v>43</v>
      </c>
      <c r="B1147" s="128" t="inlineStr">
        <is>
          <t>Tulane Freeman</t>
        </is>
      </c>
      <c r="C1147" s="128" t="inlineStr">
        <is>
          <t>Accounting</t>
        </is>
      </c>
      <c r="D1147" s="128" t="inlineStr">
        <is>
          <t>Managerial Accounting</t>
        </is>
      </c>
      <c r="E1147" s="128" t="n">
        <v>3</v>
      </c>
      <c r="F1147" s="128" t="inlineStr">
        <is>
          <t>The Accounting Review; Journal of Accounting Research; Journal of Accounting &amp; Economics; Review of Accounting Studies</t>
        </is>
      </c>
    </row>
    <row r="1148" ht="37.5" customHeight="1" s="91">
      <c r="A1148" s="127" t="n">
        <v>43</v>
      </c>
      <c r="B1148" s="127" t="inlineStr">
        <is>
          <t>Tulane Freeman</t>
        </is>
      </c>
      <c r="C1148" s="127" t="inlineStr">
        <is>
          <t>Accounting</t>
        </is>
      </c>
      <c r="D1148" s="127" t="inlineStr">
        <is>
          <t>Auditing &amp; Assurance</t>
        </is>
      </c>
      <c r="E1148" s="127" t="n">
        <v>3</v>
      </c>
      <c r="F1148" s="127" t="inlineStr">
        <is>
          <t>The Accounting Review; Journal of Accounting Research; Journal of Accounting &amp; Economics; Review of Accounting Studies</t>
        </is>
      </c>
    </row>
    <row r="1149" ht="37.5" customHeight="1" s="91">
      <c r="A1149" s="128" t="n">
        <v>43</v>
      </c>
      <c r="B1149" s="128" t="inlineStr">
        <is>
          <t>Tulane Freeman</t>
        </is>
      </c>
      <c r="C1149" s="128" t="inlineStr">
        <is>
          <t>Accounting</t>
        </is>
      </c>
      <c r="D1149" s="128" t="inlineStr">
        <is>
          <t>Tax</t>
        </is>
      </c>
      <c r="E1149" s="128" t="n">
        <v>2</v>
      </c>
      <c r="F1149" s="128" t="inlineStr">
        <is>
          <t>The Accounting Review; Journal of Accounting Research; Journal of Accounting &amp; Economics; Review of Accounting Studies</t>
        </is>
      </c>
    </row>
    <row r="1150" ht="37.5" customHeight="1" s="91">
      <c r="A1150" s="127" t="n">
        <v>43</v>
      </c>
      <c r="B1150" s="127" t="inlineStr">
        <is>
          <t>Tulane Freeman</t>
        </is>
      </c>
      <c r="C1150" s="127" t="inlineStr">
        <is>
          <t>Finance</t>
        </is>
      </c>
      <c r="D1150" s="127" t="inlineStr">
        <is>
          <t>Corporate Finance</t>
        </is>
      </c>
      <c r="E1150" s="127" t="n">
        <v>4</v>
      </c>
      <c r="F1150" s="127" t="inlineStr">
        <is>
          <t>Journal of Finance; Review of Financial Studies; Journal of Financial Economics; Journal of Financial &amp; Quantitative Analysis</t>
        </is>
      </c>
    </row>
    <row r="1151" ht="37.5" customHeight="1" s="91">
      <c r="A1151" s="128" t="n">
        <v>43</v>
      </c>
      <c r="B1151" s="128" t="inlineStr">
        <is>
          <t>Tulane Freeman</t>
        </is>
      </c>
      <c r="C1151" s="128" t="inlineStr">
        <is>
          <t>Finance</t>
        </is>
      </c>
      <c r="D1151" s="128" t="inlineStr">
        <is>
          <t>Asset Pricing</t>
        </is>
      </c>
      <c r="E1151" s="128" t="n">
        <v>4</v>
      </c>
      <c r="F1151" s="128" t="inlineStr">
        <is>
          <t>Journal of Finance; Review of Financial Studies; Journal of Financial Economics; Journal of Financial &amp; Quantitative Analysis</t>
        </is>
      </c>
    </row>
    <row r="1152" ht="37.5" customHeight="1" s="91">
      <c r="A1152" s="127" t="n">
        <v>43</v>
      </c>
      <c r="B1152" s="127" t="inlineStr">
        <is>
          <t>Tulane Freeman</t>
        </is>
      </c>
      <c r="C1152" s="127" t="inlineStr">
        <is>
          <t>Finance</t>
        </is>
      </c>
      <c r="D1152" s="127" t="inlineStr">
        <is>
          <t>Banking &amp; Financial Institutions</t>
        </is>
      </c>
      <c r="E1152" s="127" t="n">
        <v>4</v>
      </c>
      <c r="F1152" s="127" t="inlineStr">
        <is>
          <t>Journal of Finance; Review of Financial Studies; Journal of Financial Economics; Journal of Financial &amp; Quantitative Analysis</t>
        </is>
      </c>
    </row>
    <row r="1153" ht="37.5" customHeight="1" s="91">
      <c r="A1153" s="128" t="n">
        <v>43</v>
      </c>
      <c r="B1153" s="128" t="inlineStr">
        <is>
          <t>Tulane Freeman</t>
        </is>
      </c>
      <c r="C1153" s="128" t="inlineStr">
        <is>
          <t>Finance</t>
        </is>
      </c>
      <c r="D1153" s="128" t="inlineStr">
        <is>
          <t>International Finance</t>
        </is>
      </c>
      <c r="E1153" s="128" t="n">
        <v>3</v>
      </c>
      <c r="F1153" s="128" t="inlineStr">
        <is>
          <t>Journal of Finance; Review of Financial Studies; Journal of Financial Economics; Journal of Financial &amp; Quantitative Analysis</t>
        </is>
      </c>
    </row>
    <row r="1154" ht="37.5" customHeight="1" s="91">
      <c r="A1154" s="127" t="n">
        <v>43</v>
      </c>
      <c r="B1154" s="127" t="inlineStr">
        <is>
          <t>Tulane Freeman</t>
        </is>
      </c>
      <c r="C1154" s="127" t="inlineStr">
        <is>
          <t>Management</t>
        </is>
      </c>
      <c r="D1154" s="127" t="inlineStr">
        <is>
          <t>Strategic Management</t>
        </is>
      </c>
      <c r="E1154" s="127" t="n">
        <v>3</v>
      </c>
      <c r="F1154" s="127" t="inlineStr">
        <is>
          <t>Academy of Management Review; Academy of Management Journal; Administrative Science Quarterly; Strategic Management Journal</t>
        </is>
      </c>
    </row>
    <row r="1155" ht="37.5" customHeight="1" s="91">
      <c r="A1155" s="128" t="n">
        <v>43</v>
      </c>
      <c r="B1155" s="128" t="inlineStr">
        <is>
          <t>Tulane Freeman</t>
        </is>
      </c>
      <c r="C1155" s="128" t="inlineStr">
        <is>
          <t>Management</t>
        </is>
      </c>
      <c r="D1155" s="128" t="inlineStr">
        <is>
          <t>Organizational Theory</t>
        </is>
      </c>
      <c r="E1155" s="128" t="n">
        <v>3</v>
      </c>
      <c r="F1155" s="128" t="inlineStr">
        <is>
          <t>Academy of Management Review; Academy of Management Journal; Administrative Science Quarterly; Strategic Management Journal</t>
        </is>
      </c>
    </row>
    <row r="1156" ht="37.5" customHeight="1" s="91">
      <c r="A1156" s="127" t="n">
        <v>43</v>
      </c>
      <c r="B1156" s="127" t="inlineStr">
        <is>
          <t>Tulane Freeman</t>
        </is>
      </c>
      <c r="C1156" s="127" t="inlineStr">
        <is>
          <t>Management</t>
        </is>
      </c>
      <c r="D1156" s="127" t="inlineStr">
        <is>
          <t>Leadership</t>
        </is>
      </c>
      <c r="E1156" s="127" t="n">
        <v>3</v>
      </c>
      <c r="F1156" s="127" t="inlineStr">
        <is>
          <t>Academy of Management Review; Academy of Management Journal; Administrative Science Quarterly; Strategic Management Journal</t>
        </is>
      </c>
    </row>
    <row r="1157" ht="37.5" customHeight="1" s="91">
      <c r="A1157" s="128" t="n">
        <v>43</v>
      </c>
      <c r="B1157" s="128" t="inlineStr">
        <is>
          <t>Tulane Freeman</t>
        </is>
      </c>
      <c r="C1157" s="128" t="inlineStr">
        <is>
          <t>Management</t>
        </is>
      </c>
      <c r="D1157" s="128" t="inlineStr">
        <is>
          <t>Entrepreneurship</t>
        </is>
      </c>
      <c r="E1157" s="128" t="n">
        <v>3</v>
      </c>
      <c r="F1157" s="128" t="inlineStr">
        <is>
          <t>Academy of Management Review; Academy of Management Journal; Administrative Science Quarterly; Strategic Management Journal</t>
        </is>
      </c>
    </row>
    <row r="1158" ht="37.5" customHeight="1" s="91">
      <c r="A1158" s="127" t="n">
        <v>43</v>
      </c>
      <c r="B1158" s="127" t="inlineStr">
        <is>
          <t>Tulane Freeman</t>
        </is>
      </c>
      <c r="C1158" s="127" t="inlineStr">
        <is>
          <t>Marketing</t>
        </is>
      </c>
      <c r="D1158" s="127" t="inlineStr">
        <is>
          <t>Consumer Behavior</t>
        </is>
      </c>
      <c r="E1158" s="127" t="n">
        <v>3</v>
      </c>
      <c r="F1158" s="127" t="inlineStr">
        <is>
          <t>Journal of Marketing Research; Journal of Marketing; Marketing Science; Journal of Consumer Research</t>
        </is>
      </c>
    </row>
    <row r="1159" ht="37.5" customHeight="1" s="91">
      <c r="A1159" s="128" t="n">
        <v>43</v>
      </c>
      <c r="B1159" s="128" t="inlineStr">
        <is>
          <t>Tulane Freeman</t>
        </is>
      </c>
      <c r="C1159" s="128" t="inlineStr">
        <is>
          <t>Marketing</t>
        </is>
      </c>
      <c r="D1159" s="128" t="inlineStr">
        <is>
          <t>Marketing Analytics</t>
        </is>
      </c>
      <c r="E1159" s="128" t="n">
        <v>3</v>
      </c>
      <c r="F1159" s="128" t="inlineStr">
        <is>
          <t>Journal of Marketing Research; Journal of Marketing; Marketing Science; Journal of Consumer Research</t>
        </is>
      </c>
    </row>
    <row r="1160" ht="37.5" customHeight="1" s="91">
      <c r="A1160" s="127" t="n">
        <v>43</v>
      </c>
      <c r="B1160" s="127" t="inlineStr">
        <is>
          <t>Tulane Freeman</t>
        </is>
      </c>
      <c r="C1160" s="127" t="inlineStr">
        <is>
          <t>Marketing</t>
        </is>
      </c>
      <c r="D1160" s="127" t="inlineStr">
        <is>
          <t>Digital Marketing</t>
        </is>
      </c>
      <c r="E1160" s="127" t="n">
        <v>3</v>
      </c>
      <c r="F1160" s="127" t="inlineStr">
        <is>
          <t>Journal of Marketing Research; Journal of Marketing; Marketing Science; Journal of Consumer Research</t>
        </is>
      </c>
    </row>
    <row r="1161" ht="37.5" customHeight="1" s="91">
      <c r="A1161" s="128" t="n">
        <v>43</v>
      </c>
      <c r="B1161" s="128" t="inlineStr">
        <is>
          <t>Tulane Freeman</t>
        </is>
      </c>
      <c r="C1161" s="128" t="inlineStr">
        <is>
          <t>Marketing</t>
        </is>
      </c>
      <c r="D1161" s="128" t="inlineStr">
        <is>
          <t>Brand Management</t>
        </is>
      </c>
      <c r="E1161" s="128" t="n">
        <v>3</v>
      </c>
      <c r="F1161" s="128" t="inlineStr">
        <is>
          <t>Journal of Marketing Research; Journal of Marketing; Marketing Science; Journal of Consumer Research</t>
        </is>
      </c>
    </row>
    <row r="1162" ht="37.5" customHeight="1" s="91">
      <c r="A1162" s="127" t="n">
        <v>44</v>
      </c>
      <c r="B1162" s="127" t="inlineStr">
        <is>
          <t>Iowa Tippie</t>
        </is>
      </c>
      <c r="C1162" s="127" t="inlineStr">
        <is>
          <t>Accounting</t>
        </is>
      </c>
      <c r="D1162" s="127" t="inlineStr">
        <is>
          <t>Financial Accounting</t>
        </is>
      </c>
      <c r="E1162" s="127" t="n">
        <v>2</v>
      </c>
      <c r="F1162" s="127" t="inlineStr">
        <is>
          <t>The Accounting Review; Journal of Accounting Research; Journal of Accounting &amp; Economics; Review of Accounting Studies</t>
        </is>
      </c>
    </row>
    <row r="1163" ht="37.5" customHeight="1" s="91">
      <c r="A1163" s="128" t="n">
        <v>44</v>
      </c>
      <c r="B1163" s="128" t="inlineStr">
        <is>
          <t>Iowa Tippie</t>
        </is>
      </c>
      <c r="C1163" s="128" t="inlineStr">
        <is>
          <t>Accounting</t>
        </is>
      </c>
      <c r="D1163" s="128" t="inlineStr">
        <is>
          <t>Managerial Accounting</t>
        </is>
      </c>
      <c r="E1163" s="128" t="n">
        <v>2</v>
      </c>
      <c r="F1163" s="128" t="inlineStr">
        <is>
          <t>The Accounting Review; Journal of Accounting Research; Journal of Accounting &amp; Economics; Review of Accounting Studies</t>
        </is>
      </c>
    </row>
    <row r="1164" ht="37.5" customHeight="1" s="91">
      <c r="A1164" s="127" t="n">
        <v>44</v>
      </c>
      <c r="B1164" s="127" t="inlineStr">
        <is>
          <t>Iowa Tippie</t>
        </is>
      </c>
      <c r="C1164" s="127" t="inlineStr">
        <is>
          <t>Accounting</t>
        </is>
      </c>
      <c r="D1164" s="127" t="inlineStr">
        <is>
          <t>Auditing &amp; Assurance</t>
        </is>
      </c>
      <c r="E1164" s="127" t="n">
        <v>2</v>
      </c>
      <c r="F1164" s="127" t="inlineStr">
        <is>
          <t>The Accounting Review; Journal of Accounting Research; Journal of Accounting &amp; Economics; Review of Accounting Studies</t>
        </is>
      </c>
    </row>
    <row r="1165" ht="37.5" customHeight="1" s="91">
      <c r="A1165" s="128" t="n">
        <v>44</v>
      </c>
      <c r="B1165" s="128" t="inlineStr">
        <is>
          <t>Iowa Tippie</t>
        </is>
      </c>
      <c r="C1165" s="128" t="inlineStr">
        <is>
          <t>Accounting</t>
        </is>
      </c>
      <c r="D1165" s="128" t="inlineStr">
        <is>
          <t>Tax</t>
        </is>
      </c>
      <c r="E1165" s="128" t="n">
        <v>1</v>
      </c>
      <c r="F1165" s="128" t="inlineStr">
        <is>
          <t>The Accounting Review; Journal of Accounting Research; Journal of Accounting &amp; Economics; Review of Accounting Studies</t>
        </is>
      </c>
    </row>
    <row r="1166" ht="37.5" customHeight="1" s="91">
      <c r="A1166" s="127" t="n">
        <v>44</v>
      </c>
      <c r="B1166" s="127" t="inlineStr">
        <is>
          <t>Iowa Tippie</t>
        </is>
      </c>
      <c r="C1166" s="127" t="inlineStr">
        <is>
          <t>Business Analytics</t>
        </is>
      </c>
      <c r="D1166" s="127" t="inlineStr">
        <is>
          <t>Information Systems</t>
        </is>
      </c>
      <c r="E1166" s="127" t="n">
        <v>2</v>
      </c>
      <c r="F1166" s="127" t="inlineStr">
        <is>
          <t>Information Systems Research; MIS Quarterly; Journal of Management Information Systems; Decision Support Systems</t>
        </is>
      </c>
    </row>
    <row r="1167" ht="37.5" customHeight="1" s="91">
      <c r="A1167" s="128" t="n">
        <v>44</v>
      </c>
      <c r="B1167" s="128" t="inlineStr">
        <is>
          <t>Iowa Tippie</t>
        </is>
      </c>
      <c r="C1167" s="128" t="inlineStr">
        <is>
          <t>Business Analytics</t>
        </is>
      </c>
      <c r="D1167" s="128" t="inlineStr">
        <is>
          <t>Business Analytics</t>
        </is>
      </c>
      <c r="E1167" s="128" t="n">
        <v>2</v>
      </c>
      <c r="F1167" s="128" t="inlineStr">
        <is>
          <t>Information Systems Research; MIS Quarterly; Journal of Management Information Systems; Decision Support Systems</t>
        </is>
      </c>
    </row>
    <row r="1168" ht="37.5" customHeight="1" s="91">
      <c r="A1168" s="127" t="n">
        <v>44</v>
      </c>
      <c r="B1168" s="127" t="inlineStr">
        <is>
          <t>Iowa Tippie</t>
        </is>
      </c>
      <c r="C1168" s="127" t="inlineStr">
        <is>
          <t>Business Analytics</t>
        </is>
      </c>
      <c r="D1168" s="127" t="inlineStr">
        <is>
          <t>Technology Management</t>
        </is>
      </c>
      <c r="E1168" s="127" t="n">
        <v>2</v>
      </c>
      <c r="F1168" s="127" t="inlineStr">
        <is>
          <t>Information Systems Research; MIS Quarterly; Journal of Management Information Systems; Decision Support Systems</t>
        </is>
      </c>
    </row>
    <row r="1169" ht="37.5" customHeight="1" s="91">
      <c r="A1169" s="128" t="n">
        <v>44</v>
      </c>
      <c r="B1169" s="128" t="inlineStr">
        <is>
          <t>Iowa Tippie</t>
        </is>
      </c>
      <c r="C1169" s="128" t="inlineStr">
        <is>
          <t>Business Analytics</t>
        </is>
      </c>
      <c r="D1169" s="128" t="inlineStr">
        <is>
          <t>Data Science</t>
        </is>
      </c>
      <c r="E1169" s="128" t="n">
        <v>1</v>
      </c>
      <c r="F1169" s="128" t="inlineStr">
        <is>
          <t>Information Systems Research; MIS Quarterly; Journal of Management Information Systems; Decision Support Systems</t>
        </is>
      </c>
    </row>
    <row r="1170" ht="37.5" customHeight="1" s="91">
      <c r="A1170" s="127" t="n">
        <v>44</v>
      </c>
      <c r="B1170" s="127" t="inlineStr">
        <is>
          <t>Iowa Tippie</t>
        </is>
      </c>
      <c r="C1170" s="127" t="inlineStr">
        <is>
          <t>Economics</t>
        </is>
      </c>
      <c r="D1170" s="127" t="inlineStr">
        <is>
          <t>Microeconomics</t>
        </is>
      </c>
      <c r="E1170" s="127" t="n">
        <v>2</v>
      </c>
      <c r="F1170" s="127" t="inlineStr">
        <is>
          <t>American Economic Review; Econometrica; Quarterly Journal of Economics; Review of Economic Studies</t>
        </is>
      </c>
    </row>
    <row r="1171" ht="37.5" customHeight="1" s="91">
      <c r="A1171" s="128" t="n">
        <v>44</v>
      </c>
      <c r="B1171" s="128" t="inlineStr">
        <is>
          <t>Iowa Tippie</t>
        </is>
      </c>
      <c r="C1171" s="128" t="inlineStr">
        <is>
          <t>Economics</t>
        </is>
      </c>
      <c r="D1171" s="128" t="inlineStr">
        <is>
          <t>Macroeconomics</t>
        </is>
      </c>
      <c r="E1171" s="128" t="n">
        <v>2</v>
      </c>
      <c r="F1171" s="128" t="inlineStr">
        <is>
          <t>American Economic Review; Econometrica; Quarterly Journal of Economics; Review of Economic Studies</t>
        </is>
      </c>
    </row>
    <row r="1172" ht="37.5" customHeight="1" s="91">
      <c r="A1172" s="127" t="n">
        <v>44</v>
      </c>
      <c r="B1172" s="127" t="inlineStr">
        <is>
          <t>Iowa Tippie</t>
        </is>
      </c>
      <c r="C1172" s="127" t="inlineStr">
        <is>
          <t>Economics</t>
        </is>
      </c>
      <c r="D1172" s="127" t="inlineStr">
        <is>
          <t>Applied Economics</t>
        </is>
      </c>
      <c r="E1172" s="127" t="n">
        <v>2</v>
      </c>
      <c r="F1172" s="127" t="inlineStr">
        <is>
          <t>American Economic Review; Econometrica; Quarterly Journal of Economics; Review of Economic Studies</t>
        </is>
      </c>
    </row>
    <row r="1173" ht="37.5" customHeight="1" s="91">
      <c r="A1173" s="128" t="n">
        <v>44</v>
      </c>
      <c r="B1173" s="128" t="inlineStr">
        <is>
          <t>Iowa Tippie</t>
        </is>
      </c>
      <c r="C1173" s="128" t="inlineStr">
        <is>
          <t>Economics</t>
        </is>
      </c>
      <c r="D1173" s="128" t="inlineStr">
        <is>
          <t>Industrial Organization</t>
        </is>
      </c>
      <c r="E1173" s="128" t="n">
        <v>1</v>
      </c>
      <c r="F1173" s="128" t="inlineStr">
        <is>
          <t>American Economic Review; Econometrica; Quarterly Journal of Economics; Review of Economic Studies</t>
        </is>
      </c>
    </row>
    <row r="1174" ht="37.5" customHeight="1" s="91">
      <c r="A1174" s="127" t="n">
        <v>44</v>
      </c>
      <c r="B1174" s="127" t="inlineStr">
        <is>
          <t>Iowa Tippie</t>
        </is>
      </c>
      <c r="C1174" s="127" t="inlineStr">
        <is>
          <t>Finance</t>
        </is>
      </c>
      <c r="D1174" s="127" t="inlineStr">
        <is>
          <t>Corporate Finance</t>
        </is>
      </c>
      <c r="E1174" s="127" t="n">
        <v>2</v>
      </c>
      <c r="F1174" s="127" t="inlineStr">
        <is>
          <t>Journal of Finance; Review of Financial Studies; Journal of Financial Economics; Journal of Financial &amp; Quantitative Analysis</t>
        </is>
      </c>
    </row>
    <row r="1175" ht="37.5" customHeight="1" s="91">
      <c r="A1175" s="128" t="n">
        <v>44</v>
      </c>
      <c r="B1175" s="128" t="inlineStr">
        <is>
          <t>Iowa Tippie</t>
        </is>
      </c>
      <c r="C1175" s="128" t="inlineStr">
        <is>
          <t>Finance</t>
        </is>
      </c>
      <c r="D1175" s="128" t="inlineStr">
        <is>
          <t>Asset Pricing</t>
        </is>
      </c>
      <c r="E1175" s="128" t="n">
        <v>2</v>
      </c>
      <c r="F1175" s="128" t="inlineStr">
        <is>
          <t>Journal of Finance; Review of Financial Studies; Journal of Financial Economics; Journal of Financial &amp; Quantitative Analysis</t>
        </is>
      </c>
    </row>
    <row r="1176" ht="37.5" customHeight="1" s="91">
      <c r="A1176" s="127" t="n">
        <v>44</v>
      </c>
      <c r="B1176" s="127" t="inlineStr">
        <is>
          <t>Iowa Tippie</t>
        </is>
      </c>
      <c r="C1176" s="127" t="inlineStr">
        <is>
          <t>Finance</t>
        </is>
      </c>
      <c r="D1176" s="127" t="inlineStr">
        <is>
          <t>Banking &amp; Financial Institutions</t>
        </is>
      </c>
      <c r="E1176" s="127" t="n">
        <v>2</v>
      </c>
      <c r="F1176" s="127" t="inlineStr">
        <is>
          <t>Journal of Finance; Review of Financial Studies; Journal of Financial Economics; Journal of Financial &amp; Quantitative Analysis</t>
        </is>
      </c>
    </row>
    <row r="1177" ht="37.5" customHeight="1" s="91">
      <c r="A1177" s="128" t="n">
        <v>44</v>
      </c>
      <c r="B1177" s="128" t="inlineStr">
        <is>
          <t>Iowa Tippie</t>
        </is>
      </c>
      <c r="C1177" s="128" t="inlineStr">
        <is>
          <t>Finance</t>
        </is>
      </c>
      <c r="D1177" s="128" t="inlineStr">
        <is>
          <t>International Finance</t>
        </is>
      </c>
      <c r="E1177" s="128" t="n">
        <v>2</v>
      </c>
      <c r="F1177" s="128" t="inlineStr">
        <is>
          <t>Journal of Finance; Review of Financial Studies; Journal of Financial Economics; Journal of Financial &amp; Quantitative Analysis</t>
        </is>
      </c>
    </row>
    <row r="1178" ht="37.5" customHeight="1" s="91">
      <c r="A1178" s="127" t="n">
        <v>44</v>
      </c>
      <c r="B1178" s="127" t="inlineStr">
        <is>
          <t>Iowa Tippie</t>
        </is>
      </c>
      <c r="C1178" s="127" t="inlineStr">
        <is>
          <t>Management &amp; Entrepreneurship</t>
        </is>
      </c>
      <c r="D1178" s="127" t="inlineStr">
        <is>
          <t>Strategic Management</t>
        </is>
      </c>
      <c r="E1178" s="127" t="n">
        <v>2</v>
      </c>
      <c r="F1178" s="127" t="inlineStr">
        <is>
          <t>Academy of Management Review; Academy of Management Journal; Administrative Science Quarterly; Strategic Management Journal</t>
        </is>
      </c>
    </row>
    <row r="1179" ht="37.5" customHeight="1" s="91">
      <c r="A1179" s="128" t="n">
        <v>44</v>
      </c>
      <c r="B1179" s="128" t="inlineStr">
        <is>
          <t>Iowa Tippie</t>
        </is>
      </c>
      <c r="C1179" s="128" t="inlineStr">
        <is>
          <t>Management &amp; Entrepreneurship</t>
        </is>
      </c>
      <c r="D1179" s="128" t="inlineStr">
        <is>
          <t>Organizational Theory</t>
        </is>
      </c>
      <c r="E1179" s="128" t="n">
        <v>2</v>
      </c>
      <c r="F1179" s="128" t="inlineStr">
        <is>
          <t>Academy of Management Review; Academy of Management Journal; Administrative Science Quarterly; Strategic Management Journal</t>
        </is>
      </c>
    </row>
    <row r="1180" ht="37.5" customHeight="1" s="91">
      <c r="A1180" s="127" t="n">
        <v>44</v>
      </c>
      <c r="B1180" s="127" t="inlineStr">
        <is>
          <t>Iowa Tippie</t>
        </is>
      </c>
      <c r="C1180" s="127" t="inlineStr">
        <is>
          <t>Management &amp; Entrepreneurship</t>
        </is>
      </c>
      <c r="D1180" s="127" t="inlineStr">
        <is>
          <t>Leadership</t>
        </is>
      </c>
      <c r="E1180" s="127" t="n">
        <v>2</v>
      </c>
      <c r="F1180" s="127" t="inlineStr">
        <is>
          <t>Academy of Management Review; Academy of Management Journal; Administrative Science Quarterly; Strategic Management Journal</t>
        </is>
      </c>
    </row>
    <row r="1181" ht="37.5" customHeight="1" s="91">
      <c r="A1181" s="128" t="n">
        <v>44</v>
      </c>
      <c r="B1181" s="128" t="inlineStr">
        <is>
          <t>Iowa Tippie</t>
        </is>
      </c>
      <c r="C1181" s="128" t="inlineStr">
        <is>
          <t>Management &amp; Entrepreneurship</t>
        </is>
      </c>
      <c r="D1181" s="128" t="inlineStr">
        <is>
          <t>Entrepreneurship</t>
        </is>
      </c>
      <c r="E1181" s="128" t="n">
        <v>1</v>
      </c>
      <c r="F1181" s="128" t="inlineStr">
        <is>
          <t>Academy of Management Review; Academy of Management Journal; Administrative Science Quarterly; Strategic Management Journal</t>
        </is>
      </c>
    </row>
    <row r="1182" ht="37.5" customHeight="1" s="91">
      <c r="A1182" s="127" t="n">
        <v>44</v>
      </c>
      <c r="B1182" s="127" t="inlineStr">
        <is>
          <t>Iowa Tippie</t>
        </is>
      </c>
      <c r="C1182" s="127" t="inlineStr">
        <is>
          <t>Marketing</t>
        </is>
      </c>
      <c r="D1182" s="127" t="inlineStr">
        <is>
          <t>Consumer Behavior</t>
        </is>
      </c>
      <c r="E1182" s="127" t="n">
        <v>2</v>
      </c>
      <c r="F1182" s="127" t="inlineStr">
        <is>
          <t>Journal of Marketing Research; Journal of Marketing; Marketing Science; Journal of Consumer Research</t>
        </is>
      </c>
    </row>
    <row r="1183" ht="37.5" customHeight="1" s="91">
      <c r="A1183" s="128" t="n">
        <v>44</v>
      </c>
      <c r="B1183" s="128" t="inlineStr">
        <is>
          <t>Iowa Tippie</t>
        </is>
      </c>
      <c r="C1183" s="128" t="inlineStr">
        <is>
          <t>Marketing</t>
        </is>
      </c>
      <c r="D1183" s="128" t="inlineStr">
        <is>
          <t>Marketing Analytics</t>
        </is>
      </c>
      <c r="E1183" s="128" t="n">
        <v>2</v>
      </c>
      <c r="F1183" s="128" t="inlineStr">
        <is>
          <t>Journal of Marketing Research; Journal of Marketing; Marketing Science; Journal of Consumer Research</t>
        </is>
      </c>
    </row>
    <row r="1184" ht="37.5" customHeight="1" s="91">
      <c r="A1184" s="127" t="n">
        <v>44</v>
      </c>
      <c r="B1184" s="127" t="inlineStr">
        <is>
          <t>Iowa Tippie</t>
        </is>
      </c>
      <c r="C1184" s="127" t="inlineStr">
        <is>
          <t>Marketing</t>
        </is>
      </c>
      <c r="D1184" s="127" t="inlineStr">
        <is>
          <t>Digital Marketing</t>
        </is>
      </c>
      <c r="E1184" s="127" t="n">
        <v>2</v>
      </c>
      <c r="F1184" s="127" t="inlineStr">
        <is>
          <t>Journal of Marketing Research; Journal of Marketing; Marketing Science; Journal of Consumer Research</t>
        </is>
      </c>
    </row>
    <row r="1185" ht="37.5" customHeight="1" s="91">
      <c r="A1185" s="128" t="n">
        <v>44</v>
      </c>
      <c r="B1185" s="128" t="inlineStr">
        <is>
          <t>Iowa Tippie</t>
        </is>
      </c>
      <c r="C1185" s="128" t="inlineStr">
        <is>
          <t>Marketing</t>
        </is>
      </c>
      <c r="D1185" s="128" t="inlineStr">
        <is>
          <t>Brand Management</t>
        </is>
      </c>
      <c r="E1185" s="128" t="n">
        <v>1</v>
      </c>
      <c r="F1185" s="128" t="inlineStr">
        <is>
          <t>Journal of Marketing Research; Journal of Marketing; Marketing Science; Journal of Consumer Research</t>
        </is>
      </c>
    </row>
    <row r="1186" ht="37.5" customHeight="1" s="91">
      <c r="A1186" s="127" t="n">
        <v>45</v>
      </c>
      <c r="B1186" s="127" t="inlineStr">
        <is>
          <t>GWU GWSB</t>
        </is>
      </c>
      <c r="C1186" s="127" t="inlineStr">
        <is>
          <t>Accountancy</t>
        </is>
      </c>
      <c r="D1186" s="127" t="inlineStr">
        <is>
          <t>Financial Accounting</t>
        </is>
      </c>
      <c r="E1186" s="127" t="n">
        <v>3</v>
      </c>
      <c r="F1186" s="127" t="inlineStr">
        <is>
          <t>The Accounting Review; Journal of Accounting Research; Journal of Accounting &amp; Economics; Review of Accounting Studies</t>
        </is>
      </c>
    </row>
    <row r="1187" ht="37.5" customHeight="1" s="91">
      <c r="A1187" s="128" t="n">
        <v>45</v>
      </c>
      <c r="B1187" s="128" t="inlineStr">
        <is>
          <t>GWU GWSB</t>
        </is>
      </c>
      <c r="C1187" s="128" t="inlineStr">
        <is>
          <t>Accountancy</t>
        </is>
      </c>
      <c r="D1187" s="128" t="inlineStr">
        <is>
          <t>Managerial Accounting</t>
        </is>
      </c>
      <c r="E1187" s="128" t="n">
        <v>3</v>
      </c>
      <c r="F1187" s="128" t="inlineStr">
        <is>
          <t>The Accounting Review; Journal of Accounting Research; Journal of Accounting &amp; Economics; Review of Accounting Studies</t>
        </is>
      </c>
    </row>
    <row r="1188" ht="37.5" customHeight="1" s="91">
      <c r="A1188" s="127" t="n">
        <v>45</v>
      </c>
      <c r="B1188" s="127" t="inlineStr">
        <is>
          <t>GWU GWSB</t>
        </is>
      </c>
      <c r="C1188" s="127" t="inlineStr">
        <is>
          <t>Accountancy</t>
        </is>
      </c>
      <c r="D1188" s="127" t="inlineStr">
        <is>
          <t>Auditing &amp; Assurance</t>
        </is>
      </c>
      <c r="E1188" s="127" t="n">
        <v>2</v>
      </c>
      <c r="F1188" s="127" t="inlineStr">
        <is>
          <t>The Accounting Review; Journal of Accounting Research; Journal of Accounting &amp; Economics; Review of Accounting Studies</t>
        </is>
      </c>
    </row>
    <row r="1189" ht="37.5" customHeight="1" s="91">
      <c r="A1189" s="128" t="n">
        <v>45</v>
      </c>
      <c r="B1189" s="128" t="inlineStr">
        <is>
          <t>GWU GWSB</t>
        </is>
      </c>
      <c r="C1189" s="128" t="inlineStr">
        <is>
          <t>Accountancy</t>
        </is>
      </c>
      <c r="D1189" s="128" t="inlineStr">
        <is>
          <t>Tax</t>
        </is>
      </c>
      <c r="E1189" s="128" t="n">
        <v>2</v>
      </c>
      <c r="F1189" s="128" t="inlineStr">
        <is>
          <t>The Accounting Review; Journal of Accounting Research; Journal of Accounting &amp; Economics; Review of Accounting Studies</t>
        </is>
      </c>
    </row>
    <row r="1190" ht="37.5" customHeight="1" s="91">
      <c r="A1190" s="127" t="n">
        <v>45</v>
      </c>
      <c r="B1190" s="127" t="inlineStr">
        <is>
          <t>GWU GWSB</t>
        </is>
      </c>
      <c r="C1190" s="127" t="inlineStr">
        <is>
          <t>Decision Sciences</t>
        </is>
      </c>
      <c r="D1190" s="127" t="inlineStr">
        <is>
          <t>Microeconomics</t>
        </is>
      </c>
      <c r="E1190" s="127" t="n">
        <v>3</v>
      </c>
      <c r="F1190" s="127" t="inlineStr">
        <is>
          <t>American Economic Review; Econometrica; Quarterly Journal of Economics; Review of Economic Studies</t>
        </is>
      </c>
    </row>
    <row r="1191" ht="37.5" customHeight="1" s="91">
      <c r="A1191" s="128" t="n">
        <v>45</v>
      </c>
      <c r="B1191" s="128" t="inlineStr">
        <is>
          <t>GWU GWSB</t>
        </is>
      </c>
      <c r="C1191" s="128" t="inlineStr">
        <is>
          <t>Decision Sciences</t>
        </is>
      </c>
      <c r="D1191" s="128" t="inlineStr">
        <is>
          <t>Macroeconomics</t>
        </is>
      </c>
      <c r="E1191" s="128" t="n">
        <v>3</v>
      </c>
      <c r="F1191" s="128" t="inlineStr">
        <is>
          <t>American Economic Review; Econometrica; Quarterly Journal of Economics; Review of Economic Studies</t>
        </is>
      </c>
    </row>
    <row r="1192" ht="37.5" customHeight="1" s="91">
      <c r="A1192" s="127" t="n">
        <v>45</v>
      </c>
      <c r="B1192" s="127" t="inlineStr">
        <is>
          <t>GWU GWSB</t>
        </is>
      </c>
      <c r="C1192" s="127" t="inlineStr">
        <is>
          <t>Decision Sciences</t>
        </is>
      </c>
      <c r="D1192" s="127" t="inlineStr">
        <is>
          <t>Applied Economics</t>
        </is>
      </c>
      <c r="E1192" s="127" t="n">
        <v>2</v>
      </c>
      <c r="F1192" s="127" t="inlineStr">
        <is>
          <t>American Economic Review; Econometrica; Quarterly Journal of Economics; Review of Economic Studies</t>
        </is>
      </c>
    </row>
    <row r="1193" ht="37.5" customHeight="1" s="91">
      <c r="A1193" s="128" t="n">
        <v>45</v>
      </c>
      <c r="B1193" s="128" t="inlineStr">
        <is>
          <t>GWU GWSB</t>
        </is>
      </c>
      <c r="C1193" s="128" t="inlineStr">
        <is>
          <t>Decision Sciences</t>
        </is>
      </c>
      <c r="D1193" s="128" t="inlineStr">
        <is>
          <t>Industrial Organization</t>
        </is>
      </c>
      <c r="E1193" s="128" t="n">
        <v>2</v>
      </c>
      <c r="F1193" s="128" t="inlineStr">
        <is>
          <t>American Economic Review; Econometrica; Quarterly Journal of Economics; Review of Economic Studies</t>
        </is>
      </c>
    </row>
    <row r="1194" ht="37.5" customHeight="1" s="91">
      <c r="A1194" s="127" t="n">
        <v>45</v>
      </c>
      <c r="B1194" s="127" t="inlineStr">
        <is>
          <t>GWU GWSB</t>
        </is>
      </c>
      <c r="C1194" s="127" t="inlineStr">
        <is>
          <t>Finance</t>
        </is>
      </c>
      <c r="D1194" s="127" t="inlineStr">
        <is>
          <t>Corporate Finance</t>
        </is>
      </c>
      <c r="E1194" s="127" t="n">
        <v>4</v>
      </c>
      <c r="F1194" s="127" t="inlineStr">
        <is>
          <t>Journal of Finance; Review of Financial Studies; Journal of Financial Economics; Journal of Financial &amp; Quantitative Analysis</t>
        </is>
      </c>
    </row>
    <row r="1195" ht="37.5" customHeight="1" s="91">
      <c r="A1195" s="128" t="n">
        <v>45</v>
      </c>
      <c r="B1195" s="128" t="inlineStr">
        <is>
          <t>GWU GWSB</t>
        </is>
      </c>
      <c r="C1195" s="128" t="inlineStr">
        <is>
          <t>Finance</t>
        </is>
      </c>
      <c r="D1195" s="128" t="inlineStr">
        <is>
          <t>Asset Pricing</t>
        </is>
      </c>
      <c r="E1195" s="128" t="n">
        <v>3</v>
      </c>
      <c r="F1195" s="128" t="inlineStr">
        <is>
          <t>Journal of Finance; Review of Financial Studies; Journal of Financial Economics; Journal of Financial &amp; Quantitative Analysis</t>
        </is>
      </c>
    </row>
    <row r="1196" ht="37.5" customHeight="1" s="91">
      <c r="A1196" s="127" t="n">
        <v>45</v>
      </c>
      <c r="B1196" s="127" t="inlineStr">
        <is>
          <t>GWU GWSB</t>
        </is>
      </c>
      <c r="C1196" s="127" t="inlineStr">
        <is>
          <t>Finance</t>
        </is>
      </c>
      <c r="D1196" s="127" t="inlineStr">
        <is>
          <t>Banking &amp; Financial Institutions</t>
        </is>
      </c>
      <c r="E1196" s="127" t="n">
        <v>3</v>
      </c>
      <c r="F1196" s="127" t="inlineStr">
        <is>
          <t>Journal of Finance; Review of Financial Studies; Journal of Financial Economics; Journal of Financial &amp; Quantitative Analysis</t>
        </is>
      </c>
    </row>
    <row r="1197" ht="37.5" customHeight="1" s="91">
      <c r="A1197" s="128" t="n">
        <v>45</v>
      </c>
      <c r="B1197" s="128" t="inlineStr">
        <is>
          <t>GWU GWSB</t>
        </is>
      </c>
      <c r="C1197" s="128" t="inlineStr">
        <is>
          <t>Finance</t>
        </is>
      </c>
      <c r="D1197" s="128" t="inlineStr">
        <is>
          <t>International Finance</t>
        </is>
      </c>
      <c r="E1197" s="128" t="n">
        <v>3</v>
      </c>
      <c r="F1197" s="128" t="inlineStr">
        <is>
          <t>Journal of Finance; Review of Financial Studies; Journal of Financial Economics; Journal of Financial &amp; Quantitative Analysis</t>
        </is>
      </c>
    </row>
    <row r="1198" ht="37.5" customHeight="1" s="91">
      <c r="A1198" s="127" t="n">
        <v>45</v>
      </c>
      <c r="B1198" s="127" t="inlineStr">
        <is>
          <t>GWU GWSB</t>
        </is>
      </c>
      <c r="C1198" s="127" t="inlineStr">
        <is>
          <t>Information Systems &amp; Technology</t>
        </is>
      </c>
      <c r="D1198" s="127" t="inlineStr">
        <is>
          <t>Information Systems</t>
        </is>
      </c>
      <c r="E1198" s="127" t="n">
        <v>3</v>
      </c>
      <c r="F1198" s="127" t="inlineStr">
        <is>
          <t>Information Systems Research; MIS Quarterly; Journal of Management Information Systems; Decision Support Systems</t>
        </is>
      </c>
    </row>
    <row r="1199" ht="37.5" customHeight="1" s="91">
      <c r="A1199" s="128" t="n">
        <v>45</v>
      </c>
      <c r="B1199" s="128" t="inlineStr">
        <is>
          <t>GWU GWSB</t>
        </is>
      </c>
      <c r="C1199" s="128" t="inlineStr">
        <is>
          <t>Information Systems &amp; Technology</t>
        </is>
      </c>
      <c r="D1199" s="128" t="inlineStr">
        <is>
          <t>Business Analytics</t>
        </is>
      </c>
      <c r="E1199" s="128" t="n">
        <v>2</v>
      </c>
      <c r="F1199" s="128" t="inlineStr">
        <is>
          <t>Information Systems Research; MIS Quarterly; Journal of Management Information Systems; Decision Support Systems</t>
        </is>
      </c>
    </row>
    <row r="1200" ht="37.5" customHeight="1" s="91">
      <c r="A1200" s="127" t="n">
        <v>45</v>
      </c>
      <c r="B1200" s="127" t="inlineStr">
        <is>
          <t>GWU GWSB</t>
        </is>
      </c>
      <c r="C1200" s="127" t="inlineStr">
        <is>
          <t>Information Systems &amp; Technology</t>
        </is>
      </c>
      <c r="D1200" s="127" t="inlineStr">
        <is>
          <t>Technology Management</t>
        </is>
      </c>
      <c r="E1200" s="127" t="n">
        <v>2</v>
      </c>
      <c r="F1200" s="127" t="inlineStr">
        <is>
          <t>Information Systems Research; MIS Quarterly; Journal of Management Information Systems; Decision Support Systems</t>
        </is>
      </c>
    </row>
    <row r="1201" ht="37.5" customHeight="1" s="91">
      <c r="A1201" s="128" t="n">
        <v>45</v>
      </c>
      <c r="B1201" s="128" t="inlineStr">
        <is>
          <t>GWU GWSB</t>
        </is>
      </c>
      <c r="C1201" s="128" t="inlineStr">
        <is>
          <t>Information Systems &amp; Technology</t>
        </is>
      </c>
      <c r="D1201" s="128" t="inlineStr">
        <is>
          <t>Data Science</t>
        </is>
      </c>
      <c r="E1201" s="128" t="n">
        <v>2</v>
      </c>
      <c r="F1201" s="128" t="inlineStr">
        <is>
          <t>Information Systems Research; MIS Quarterly; Journal of Management Information Systems; Decision Support Systems</t>
        </is>
      </c>
    </row>
    <row r="1202" ht="37.5" customHeight="1" s="91">
      <c r="A1202" s="127" t="n">
        <v>45</v>
      </c>
      <c r="B1202" s="127" t="inlineStr">
        <is>
          <t>GWU GWSB</t>
        </is>
      </c>
      <c r="C1202" s="127" t="inlineStr">
        <is>
          <t>International Business</t>
        </is>
      </c>
      <c r="D1202" s="127" t="inlineStr">
        <is>
          <t>Theory</t>
        </is>
      </c>
      <c r="E1202" s="127" t="n">
        <v>3</v>
      </c>
      <c r="F1202" s="127" t="inlineStr">
        <is>
          <t>Management Science; Academy of Management Journal; Journal of Business Research; Strategic Management Journal</t>
        </is>
      </c>
    </row>
    <row r="1203" ht="37.5" customHeight="1" s="91">
      <c r="A1203" s="128" t="n">
        <v>45</v>
      </c>
      <c r="B1203" s="128" t="inlineStr">
        <is>
          <t>GWU GWSB</t>
        </is>
      </c>
      <c r="C1203" s="128" t="inlineStr">
        <is>
          <t>International Business</t>
        </is>
      </c>
      <c r="D1203" s="128" t="inlineStr">
        <is>
          <t>Empirical Research</t>
        </is>
      </c>
      <c r="E1203" s="128" t="n">
        <v>3</v>
      </c>
      <c r="F1203" s="128" t="inlineStr">
        <is>
          <t>Management Science; Academy of Management Journal; Journal of Business Research; Strategic Management Journal</t>
        </is>
      </c>
    </row>
    <row r="1204" ht="37.5" customHeight="1" s="91">
      <c r="A1204" s="127" t="n">
        <v>45</v>
      </c>
      <c r="B1204" s="127" t="inlineStr">
        <is>
          <t>GWU GWSB</t>
        </is>
      </c>
      <c r="C1204" s="127" t="inlineStr">
        <is>
          <t>International Business</t>
        </is>
      </c>
      <c r="D1204" s="127" t="inlineStr">
        <is>
          <t>Applied Research</t>
        </is>
      </c>
      <c r="E1204" s="127" t="n">
        <v>2</v>
      </c>
      <c r="F1204" s="127" t="inlineStr">
        <is>
          <t>Management Science; Academy of Management Journal; Journal of Business Research; Strategic Management Journal</t>
        </is>
      </c>
    </row>
    <row r="1205" ht="37.5" customHeight="1" s="91">
      <c r="A1205" s="128" t="n">
        <v>45</v>
      </c>
      <c r="B1205" s="128" t="inlineStr">
        <is>
          <t>GWU GWSB</t>
        </is>
      </c>
      <c r="C1205" s="128" t="inlineStr">
        <is>
          <t>International Business</t>
        </is>
      </c>
      <c r="D1205" s="128" t="inlineStr">
        <is>
          <t>Policy</t>
        </is>
      </c>
      <c r="E1205" s="128" t="n">
        <v>2</v>
      </c>
      <c r="F1205" s="128" t="inlineStr">
        <is>
          <t>Management Science; Academy of Management Journal; Journal of Business Research; Strategic Management Journal</t>
        </is>
      </c>
    </row>
    <row r="1206" ht="37.5" customHeight="1" s="91">
      <c r="A1206" s="127" t="n">
        <v>45</v>
      </c>
      <c r="B1206" s="127" t="inlineStr">
        <is>
          <t>GWU GWSB</t>
        </is>
      </c>
      <c r="C1206" s="127" t="inlineStr">
        <is>
          <t>Management</t>
        </is>
      </c>
      <c r="D1206" s="127" t="inlineStr">
        <is>
          <t>Strategic Management</t>
        </is>
      </c>
      <c r="E1206" s="127" t="n">
        <v>3</v>
      </c>
      <c r="F1206" s="127" t="inlineStr">
        <is>
          <t>Academy of Management Review; Academy of Management Journal; Administrative Science Quarterly; Strategic Management Journal</t>
        </is>
      </c>
    </row>
    <row r="1207" ht="37.5" customHeight="1" s="91">
      <c r="A1207" s="128" t="n">
        <v>45</v>
      </c>
      <c r="B1207" s="128" t="inlineStr">
        <is>
          <t>GWU GWSB</t>
        </is>
      </c>
      <c r="C1207" s="128" t="inlineStr">
        <is>
          <t>Management</t>
        </is>
      </c>
      <c r="D1207" s="128" t="inlineStr">
        <is>
          <t>Organizational Theory</t>
        </is>
      </c>
      <c r="E1207" s="128" t="n">
        <v>3</v>
      </c>
      <c r="F1207" s="128" t="inlineStr">
        <is>
          <t>Academy of Management Review; Academy of Management Journal; Administrative Science Quarterly; Strategic Management Journal</t>
        </is>
      </c>
    </row>
    <row r="1208" ht="37.5" customHeight="1" s="91">
      <c r="A1208" s="127" t="n">
        <v>45</v>
      </c>
      <c r="B1208" s="127" t="inlineStr">
        <is>
          <t>GWU GWSB</t>
        </is>
      </c>
      <c r="C1208" s="127" t="inlineStr">
        <is>
          <t>Management</t>
        </is>
      </c>
      <c r="D1208" s="127" t="inlineStr">
        <is>
          <t>Leadership</t>
        </is>
      </c>
      <c r="E1208" s="127" t="n">
        <v>2</v>
      </c>
      <c r="F1208" s="127" t="inlineStr">
        <is>
          <t>Academy of Management Review; Academy of Management Journal; Administrative Science Quarterly; Strategic Management Journal</t>
        </is>
      </c>
    </row>
    <row r="1209" ht="37.5" customHeight="1" s="91">
      <c r="A1209" s="128" t="n">
        <v>45</v>
      </c>
      <c r="B1209" s="128" t="inlineStr">
        <is>
          <t>GWU GWSB</t>
        </is>
      </c>
      <c r="C1209" s="128" t="inlineStr">
        <is>
          <t>Management</t>
        </is>
      </c>
      <c r="D1209" s="128" t="inlineStr">
        <is>
          <t>Entrepreneurship</t>
        </is>
      </c>
      <c r="E1209" s="128" t="n">
        <v>2</v>
      </c>
      <c r="F1209" s="128" t="inlineStr">
        <is>
          <t>Academy of Management Review; Academy of Management Journal; Administrative Science Quarterly; Strategic Management Journal</t>
        </is>
      </c>
    </row>
    <row r="1210" ht="37.5" customHeight="1" s="91">
      <c r="A1210" s="127" t="n">
        <v>45</v>
      </c>
      <c r="B1210" s="127" t="inlineStr">
        <is>
          <t>GWU GWSB</t>
        </is>
      </c>
      <c r="C1210" s="127" t="inlineStr">
        <is>
          <t>Marketing</t>
        </is>
      </c>
      <c r="D1210" s="127" t="inlineStr">
        <is>
          <t>Consumer Behavior</t>
        </is>
      </c>
      <c r="E1210" s="127" t="n">
        <v>3</v>
      </c>
      <c r="F1210" s="127" t="inlineStr">
        <is>
          <t>Journal of Marketing Research; Journal of Marketing; Marketing Science; Journal of Consumer Research</t>
        </is>
      </c>
    </row>
    <row r="1211" ht="37.5" customHeight="1" s="91">
      <c r="A1211" s="128" t="n">
        <v>45</v>
      </c>
      <c r="B1211" s="128" t="inlineStr">
        <is>
          <t>GWU GWSB</t>
        </is>
      </c>
      <c r="C1211" s="128" t="inlineStr">
        <is>
          <t>Marketing</t>
        </is>
      </c>
      <c r="D1211" s="128" t="inlineStr">
        <is>
          <t>Marketing Analytics</t>
        </is>
      </c>
      <c r="E1211" s="128" t="n">
        <v>3</v>
      </c>
      <c r="F1211" s="128" t="inlineStr">
        <is>
          <t>Journal of Marketing Research; Journal of Marketing; Marketing Science; Journal of Consumer Research</t>
        </is>
      </c>
    </row>
    <row r="1212" ht="37.5" customHeight="1" s="91">
      <c r="A1212" s="127" t="n">
        <v>45</v>
      </c>
      <c r="B1212" s="127" t="inlineStr">
        <is>
          <t>GWU GWSB</t>
        </is>
      </c>
      <c r="C1212" s="127" t="inlineStr">
        <is>
          <t>Marketing</t>
        </is>
      </c>
      <c r="D1212" s="127" t="inlineStr">
        <is>
          <t>Digital Marketing</t>
        </is>
      </c>
      <c r="E1212" s="127" t="n">
        <v>3</v>
      </c>
      <c r="F1212" s="127" t="inlineStr">
        <is>
          <t>Journal of Marketing Research; Journal of Marketing; Marketing Science; Journal of Consumer Research</t>
        </is>
      </c>
    </row>
    <row r="1213" ht="37.5" customHeight="1" s="91">
      <c r="A1213" s="128" t="n">
        <v>45</v>
      </c>
      <c r="B1213" s="128" t="inlineStr">
        <is>
          <t>GWU GWSB</t>
        </is>
      </c>
      <c r="C1213" s="128" t="inlineStr">
        <is>
          <t>Marketing</t>
        </is>
      </c>
      <c r="D1213" s="128" t="inlineStr">
        <is>
          <t>Brand Management</t>
        </is>
      </c>
      <c r="E1213" s="128" t="n">
        <v>2</v>
      </c>
      <c r="F1213" s="128" t="inlineStr">
        <is>
          <t>Journal of Marketing Research; Journal of Marketing; Marketing Science; Journal of Consumer Research</t>
        </is>
      </c>
    </row>
    <row r="1214" ht="37.5" customHeight="1" s="91">
      <c r="A1214" s="127" t="n">
        <v>45</v>
      </c>
      <c r="B1214" s="127" t="inlineStr">
        <is>
          <t>GWU GWSB</t>
        </is>
      </c>
      <c r="C1214" s="127" t="inlineStr">
        <is>
          <t>Strategic Management &amp; Public Policy</t>
        </is>
      </c>
      <c r="D1214" s="127" t="inlineStr">
        <is>
          <t>Competitive Strategy</t>
        </is>
      </c>
      <c r="E1214" s="127" t="n">
        <v>3</v>
      </c>
      <c r="F1214" s="127" t="inlineStr">
        <is>
          <t>Strategic Management Journal; Academy of Management Review; Organization Science; Journal of Economics &amp; Management Strategy</t>
        </is>
      </c>
    </row>
    <row r="1215" ht="37.5" customHeight="1" s="91">
      <c r="A1215" s="128" t="n">
        <v>45</v>
      </c>
      <c r="B1215" s="128" t="inlineStr">
        <is>
          <t>GWU GWSB</t>
        </is>
      </c>
      <c r="C1215" s="128" t="inlineStr">
        <is>
          <t>Strategic Management &amp; Public Policy</t>
        </is>
      </c>
      <c r="D1215" s="128" t="inlineStr">
        <is>
          <t>Corporate Strategy</t>
        </is>
      </c>
      <c r="E1215" s="128" t="n">
        <v>3</v>
      </c>
      <c r="F1215" s="128" t="inlineStr">
        <is>
          <t>Strategic Management Journal; Academy of Management Review; Organization Science; Journal of Economics &amp; Management Strategy</t>
        </is>
      </c>
    </row>
    <row r="1216" ht="37.5" customHeight="1" s="91">
      <c r="A1216" s="127" t="n">
        <v>45</v>
      </c>
      <c r="B1216" s="127" t="inlineStr">
        <is>
          <t>GWU GWSB</t>
        </is>
      </c>
      <c r="C1216" s="127" t="inlineStr">
        <is>
          <t>Strategic Management &amp; Public Policy</t>
        </is>
      </c>
      <c r="D1216" s="127" t="inlineStr">
        <is>
          <t>Innovation</t>
        </is>
      </c>
      <c r="E1216" s="127" t="n">
        <v>2</v>
      </c>
      <c r="F1216" s="127" t="inlineStr">
        <is>
          <t>Strategic Management Journal; Academy of Management Review; Organization Science; Journal of Economics &amp; Management Strategy</t>
        </is>
      </c>
    </row>
    <row r="1217" ht="37.5" customHeight="1" s="91">
      <c r="A1217" s="128" t="n">
        <v>45</v>
      </c>
      <c r="B1217" s="128" t="inlineStr">
        <is>
          <t>GWU GWSB</t>
        </is>
      </c>
      <c r="C1217" s="128" t="inlineStr">
        <is>
          <t>Strategic Management &amp; Public Policy</t>
        </is>
      </c>
      <c r="D1217" s="128" t="inlineStr">
        <is>
          <t>Strategic Management</t>
        </is>
      </c>
      <c r="E1217" s="128" t="n">
        <v>2</v>
      </c>
      <c r="F1217" s="128" t="inlineStr">
        <is>
          <t>Strategic Management Journal; Academy of Management Review; Organization Science; Journal of Economics &amp; Management Strategy</t>
        </is>
      </c>
    </row>
    <row r="1218" ht="37.5" customHeight="1" s="91">
      <c r="A1218" s="127" t="n">
        <v>46</v>
      </c>
      <c r="B1218" s="127" t="inlineStr">
        <is>
          <t>BYU Marriott</t>
        </is>
      </c>
      <c r="C1218" s="127" t="inlineStr">
        <is>
          <t>Accountancy</t>
        </is>
      </c>
      <c r="D1218" s="127" t="inlineStr">
        <is>
          <t>Financial Accounting</t>
        </is>
      </c>
      <c r="E1218" s="127" t="n">
        <v>2</v>
      </c>
      <c r="F1218" s="127" t="inlineStr">
        <is>
          <t>The Accounting Review; Journal of Accounting Research; Journal of Accounting &amp; Economics; Review of Accounting Studies</t>
        </is>
      </c>
    </row>
    <row r="1219" ht="37.5" customHeight="1" s="91">
      <c r="A1219" s="128" t="n">
        <v>46</v>
      </c>
      <c r="B1219" s="128" t="inlineStr">
        <is>
          <t>BYU Marriott</t>
        </is>
      </c>
      <c r="C1219" s="128" t="inlineStr">
        <is>
          <t>Accountancy</t>
        </is>
      </c>
      <c r="D1219" s="128" t="inlineStr">
        <is>
          <t>Managerial Accounting</t>
        </is>
      </c>
      <c r="E1219" s="128" t="n">
        <v>2</v>
      </c>
      <c r="F1219" s="128" t="inlineStr">
        <is>
          <t>The Accounting Review; Journal of Accounting Research; Journal of Accounting &amp; Economics; Review of Accounting Studies</t>
        </is>
      </c>
    </row>
    <row r="1220" ht="37.5" customHeight="1" s="91">
      <c r="A1220" s="127" t="n">
        <v>46</v>
      </c>
      <c r="B1220" s="127" t="inlineStr">
        <is>
          <t>BYU Marriott</t>
        </is>
      </c>
      <c r="C1220" s="127" t="inlineStr">
        <is>
          <t>Accountancy</t>
        </is>
      </c>
      <c r="D1220" s="127" t="inlineStr">
        <is>
          <t>Auditing &amp; Assurance</t>
        </is>
      </c>
      <c r="E1220" s="127" t="n">
        <v>2</v>
      </c>
      <c r="F1220" s="127" t="inlineStr">
        <is>
          <t>The Accounting Review; Journal of Accounting Research; Journal of Accounting &amp; Economics; Review of Accounting Studies</t>
        </is>
      </c>
    </row>
    <row r="1221" ht="37.5" customHeight="1" s="91">
      <c r="A1221" s="128" t="n">
        <v>46</v>
      </c>
      <c r="B1221" s="128" t="inlineStr">
        <is>
          <t>BYU Marriott</t>
        </is>
      </c>
      <c r="C1221" s="128" t="inlineStr">
        <is>
          <t>Accountancy</t>
        </is>
      </c>
      <c r="D1221" s="128" t="inlineStr">
        <is>
          <t>Tax</t>
        </is>
      </c>
      <c r="E1221" s="128" t="n">
        <v>1</v>
      </c>
      <c r="F1221" s="128" t="inlineStr">
        <is>
          <t>The Accounting Review; Journal of Accounting Research; Journal of Accounting &amp; Economics; Review of Accounting Studies</t>
        </is>
      </c>
    </row>
    <row r="1222" ht="37.5" customHeight="1" s="91">
      <c r="A1222" s="127" t="n">
        <v>46</v>
      </c>
      <c r="B1222" s="127" t="inlineStr">
        <is>
          <t>BYU Marriott</t>
        </is>
      </c>
      <c r="C1222" s="127" t="inlineStr">
        <is>
          <t>Business Management</t>
        </is>
      </c>
      <c r="D1222" s="127" t="inlineStr">
        <is>
          <t>Strategic Management</t>
        </is>
      </c>
      <c r="E1222" s="127" t="n">
        <v>2</v>
      </c>
      <c r="F1222" s="127" t="inlineStr">
        <is>
          <t>Academy of Management Review; Academy of Management Journal; Administrative Science Quarterly; Strategic Management Journal</t>
        </is>
      </c>
    </row>
    <row r="1223" ht="37.5" customHeight="1" s="91">
      <c r="A1223" s="128" t="n">
        <v>46</v>
      </c>
      <c r="B1223" s="128" t="inlineStr">
        <is>
          <t>BYU Marriott</t>
        </is>
      </c>
      <c r="C1223" s="128" t="inlineStr">
        <is>
          <t>Business Management</t>
        </is>
      </c>
      <c r="D1223" s="128" t="inlineStr">
        <is>
          <t>Organizational Theory</t>
        </is>
      </c>
      <c r="E1223" s="128" t="n">
        <v>2</v>
      </c>
      <c r="F1223" s="128" t="inlineStr">
        <is>
          <t>Academy of Management Review; Academy of Management Journal; Administrative Science Quarterly; Strategic Management Journal</t>
        </is>
      </c>
    </row>
    <row r="1224" ht="37.5" customHeight="1" s="91">
      <c r="A1224" s="127" t="n">
        <v>46</v>
      </c>
      <c r="B1224" s="127" t="inlineStr">
        <is>
          <t>BYU Marriott</t>
        </is>
      </c>
      <c r="C1224" s="127" t="inlineStr">
        <is>
          <t>Business Management</t>
        </is>
      </c>
      <c r="D1224" s="127" t="inlineStr">
        <is>
          <t>Leadership</t>
        </is>
      </c>
      <c r="E1224" s="127" t="n">
        <v>2</v>
      </c>
      <c r="F1224" s="127" t="inlineStr">
        <is>
          <t>Academy of Management Review; Academy of Management Journal; Administrative Science Quarterly; Strategic Management Journal</t>
        </is>
      </c>
    </row>
    <row r="1225" ht="37.5" customHeight="1" s="91">
      <c r="A1225" s="128" t="n">
        <v>46</v>
      </c>
      <c r="B1225" s="128" t="inlineStr">
        <is>
          <t>BYU Marriott</t>
        </is>
      </c>
      <c r="C1225" s="128" t="inlineStr">
        <is>
          <t>Business Management</t>
        </is>
      </c>
      <c r="D1225" s="128" t="inlineStr">
        <is>
          <t>Entrepreneurship</t>
        </is>
      </c>
      <c r="E1225" s="128" t="n">
        <v>2</v>
      </c>
      <c r="F1225" s="128" t="inlineStr">
        <is>
          <t>Academy of Management Review; Academy of Management Journal; Administrative Science Quarterly; Strategic Management Journal</t>
        </is>
      </c>
    </row>
    <row r="1226" ht="37.5" customHeight="1" s="91">
      <c r="A1226" s="127" t="n">
        <v>46</v>
      </c>
      <c r="B1226" s="127" t="inlineStr">
        <is>
          <t>BYU Marriott</t>
        </is>
      </c>
      <c r="C1226" s="127" t="inlineStr">
        <is>
          <t>Experience Design &amp; Management</t>
        </is>
      </c>
      <c r="D1226" s="127" t="inlineStr">
        <is>
          <t>Strategic Management</t>
        </is>
      </c>
      <c r="E1226" s="127" t="n">
        <v>2</v>
      </c>
      <c r="F1226" s="127" t="inlineStr">
        <is>
          <t>Academy of Management Review; Academy of Management Journal; Administrative Science Quarterly; Strategic Management Journal</t>
        </is>
      </c>
    </row>
    <row r="1227" ht="37.5" customHeight="1" s="91">
      <c r="A1227" s="128" t="n">
        <v>46</v>
      </c>
      <c r="B1227" s="128" t="inlineStr">
        <is>
          <t>BYU Marriott</t>
        </is>
      </c>
      <c r="C1227" s="128" t="inlineStr">
        <is>
          <t>Experience Design &amp; Management</t>
        </is>
      </c>
      <c r="D1227" s="128" t="inlineStr">
        <is>
          <t>Organizational Theory</t>
        </is>
      </c>
      <c r="E1227" s="128" t="n">
        <v>2</v>
      </c>
      <c r="F1227" s="128" t="inlineStr">
        <is>
          <t>Academy of Management Review; Academy of Management Journal; Administrative Science Quarterly; Strategic Management Journal</t>
        </is>
      </c>
    </row>
    <row r="1228" ht="37.5" customHeight="1" s="91">
      <c r="A1228" s="127" t="n">
        <v>46</v>
      </c>
      <c r="B1228" s="127" t="inlineStr">
        <is>
          <t>BYU Marriott</t>
        </is>
      </c>
      <c r="C1228" s="127" t="inlineStr">
        <is>
          <t>Experience Design &amp; Management</t>
        </is>
      </c>
      <c r="D1228" s="127" t="inlineStr">
        <is>
          <t>Leadership</t>
        </is>
      </c>
      <c r="E1228" s="127" t="n">
        <v>2</v>
      </c>
      <c r="F1228" s="127" t="inlineStr">
        <is>
          <t>Academy of Management Review; Academy of Management Journal; Administrative Science Quarterly; Strategic Management Journal</t>
        </is>
      </c>
    </row>
    <row r="1229" ht="37.5" customHeight="1" s="91">
      <c r="A1229" s="128" t="n">
        <v>46</v>
      </c>
      <c r="B1229" s="128" t="inlineStr">
        <is>
          <t>BYU Marriott</t>
        </is>
      </c>
      <c r="C1229" s="128" t="inlineStr">
        <is>
          <t>Experience Design &amp; Management</t>
        </is>
      </c>
      <c r="D1229" s="128" t="inlineStr">
        <is>
          <t>Entrepreneurship</t>
        </is>
      </c>
      <c r="E1229" s="128" t="n">
        <v>2</v>
      </c>
      <c r="F1229" s="128" t="inlineStr">
        <is>
          <t>Academy of Management Review; Academy of Management Journal; Administrative Science Quarterly; Strategic Management Journal</t>
        </is>
      </c>
    </row>
    <row r="1230" ht="37.5" customHeight="1" s="91">
      <c r="A1230" s="127" t="n">
        <v>46</v>
      </c>
      <c r="B1230" s="127" t="inlineStr">
        <is>
          <t>BYU Marriott</t>
        </is>
      </c>
      <c r="C1230" s="127" t="inlineStr">
        <is>
          <t>Finance</t>
        </is>
      </c>
      <c r="D1230" s="127" t="inlineStr">
        <is>
          <t>Corporate Finance</t>
        </is>
      </c>
      <c r="E1230" s="127" t="n">
        <v>3</v>
      </c>
      <c r="F1230" s="127" t="inlineStr">
        <is>
          <t>Journal of Finance; Review of Financial Studies; Journal of Financial Economics; Journal of Financial &amp; Quantitative Analysis</t>
        </is>
      </c>
    </row>
    <row r="1231" ht="37.5" customHeight="1" s="91">
      <c r="A1231" s="128" t="n">
        <v>46</v>
      </c>
      <c r="B1231" s="128" t="inlineStr">
        <is>
          <t>BYU Marriott</t>
        </is>
      </c>
      <c r="C1231" s="128" t="inlineStr">
        <is>
          <t>Finance</t>
        </is>
      </c>
      <c r="D1231" s="128" t="inlineStr">
        <is>
          <t>Asset Pricing</t>
        </is>
      </c>
      <c r="E1231" s="128" t="n">
        <v>2</v>
      </c>
      <c r="F1231" s="128" t="inlineStr">
        <is>
          <t>Journal of Finance; Review of Financial Studies; Journal of Financial Economics; Journal of Financial &amp; Quantitative Analysis</t>
        </is>
      </c>
    </row>
    <row r="1232" ht="37.5" customHeight="1" s="91">
      <c r="A1232" s="127" t="n">
        <v>46</v>
      </c>
      <c r="B1232" s="127" t="inlineStr">
        <is>
          <t>BYU Marriott</t>
        </is>
      </c>
      <c r="C1232" s="127" t="inlineStr">
        <is>
          <t>Finance</t>
        </is>
      </c>
      <c r="D1232" s="127" t="inlineStr">
        <is>
          <t>Banking &amp; Financial Institutions</t>
        </is>
      </c>
      <c r="E1232" s="127" t="n">
        <v>2</v>
      </c>
      <c r="F1232" s="127" t="inlineStr">
        <is>
          <t>Journal of Finance; Review of Financial Studies; Journal of Financial Economics; Journal of Financial &amp; Quantitative Analysis</t>
        </is>
      </c>
    </row>
    <row r="1233" ht="37.5" customHeight="1" s="91">
      <c r="A1233" s="128" t="n">
        <v>46</v>
      </c>
      <c r="B1233" s="128" t="inlineStr">
        <is>
          <t>BYU Marriott</t>
        </is>
      </c>
      <c r="C1233" s="128" t="inlineStr">
        <is>
          <t>Finance</t>
        </is>
      </c>
      <c r="D1233" s="128" t="inlineStr">
        <is>
          <t>International Finance</t>
        </is>
      </c>
      <c r="E1233" s="128" t="n">
        <v>2</v>
      </c>
      <c r="F1233" s="128" t="inlineStr">
        <is>
          <t>Journal of Finance; Review of Financial Studies; Journal of Financial Economics; Journal of Financial &amp; Quantitative Analysis</t>
        </is>
      </c>
    </row>
    <row r="1234" ht="37.5" customHeight="1" s="91">
      <c r="A1234" s="127" t="n">
        <v>46</v>
      </c>
      <c r="B1234" s="127" t="inlineStr">
        <is>
          <t>BYU Marriott</t>
        </is>
      </c>
      <c r="C1234" s="127" t="inlineStr">
        <is>
          <t>Global Supply Chain Management</t>
        </is>
      </c>
      <c r="D1234" s="127" t="inlineStr">
        <is>
          <t>Supply Chain Management</t>
        </is>
      </c>
      <c r="E1234" s="127" t="n">
        <v>2</v>
      </c>
      <c r="F1234" s="127" t="inlineStr">
        <is>
          <t>Management Science; Operations Research; Manufacturing &amp; Service Operations Management; Production &amp; Operations Management</t>
        </is>
      </c>
    </row>
    <row r="1235" ht="37.5" customHeight="1" s="91">
      <c r="A1235" s="128" t="n">
        <v>46</v>
      </c>
      <c r="B1235" s="128" t="inlineStr">
        <is>
          <t>BYU Marriott</t>
        </is>
      </c>
      <c r="C1235" s="128" t="inlineStr">
        <is>
          <t>Global Supply Chain Management</t>
        </is>
      </c>
      <c r="D1235" s="128" t="inlineStr">
        <is>
          <t>Operations Research</t>
        </is>
      </c>
      <c r="E1235" s="128" t="n">
        <v>2</v>
      </c>
      <c r="F1235" s="128" t="inlineStr">
        <is>
          <t>Management Science; Operations Research; Manufacturing &amp; Service Operations Management; Production &amp; Operations Management</t>
        </is>
      </c>
    </row>
    <row r="1236" ht="37.5" customHeight="1" s="91">
      <c r="A1236" s="127" t="n">
        <v>46</v>
      </c>
      <c r="B1236" s="127" t="inlineStr">
        <is>
          <t>BYU Marriott</t>
        </is>
      </c>
      <c r="C1236" s="127" t="inlineStr">
        <is>
          <t>Global Supply Chain Management</t>
        </is>
      </c>
      <c r="D1236" s="127" t="inlineStr">
        <is>
          <t>Process Optimization</t>
        </is>
      </c>
      <c r="E1236" s="127" t="n">
        <v>2</v>
      </c>
      <c r="F1236" s="127" t="inlineStr">
        <is>
          <t>Management Science; Operations Research; Manufacturing &amp; Service Operations Management; Production &amp; Operations Management</t>
        </is>
      </c>
    </row>
    <row r="1237" ht="37.5" customHeight="1" s="91">
      <c r="A1237" s="128" t="n">
        <v>46</v>
      </c>
      <c r="B1237" s="128" t="inlineStr">
        <is>
          <t>BYU Marriott</t>
        </is>
      </c>
      <c r="C1237" s="128" t="inlineStr">
        <is>
          <t>Global Supply Chain Management</t>
        </is>
      </c>
      <c r="D1237" s="128" t="inlineStr">
        <is>
          <t>Analytics</t>
        </is>
      </c>
      <c r="E1237" s="128" t="n">
        <v>2</v>
      </c>
      <c r="F1237" s="128" t="inlineStr">
        <is>
          <t>Management Science; Operations Research; Manufacturing &amp; Service Operations Management; Production &amp; Operations Management</t>
        </is>
      </c>
    </row>
    <row r="1238" ht="37.5" customHeight="1" s="91">
      <c r="A1238" s="127" t="n">
        <v>46</v>
      </c>
      <c r="B1238" s="127" t="inlineStr">
        <is>
          <t>BYU Marriott</t>
        </is>
      </c>
      <c r="C1238" s="127" t="inlineStr">
        <is>
          <t>Information Systems</t>
        </is>
      </c>
      <c r="D1238" s="127" t="inlineStr">
        <is>
          <t>Information Systems</t>
        </is>
      </c>
      <c r="E1238" s="127" t="n">
        <v>2</v>
      </c>
      <c r="F1238" s="127" t="inlineStr">
        <is>
          <t>Information Systems Research; MIS Quarterly; Journal of Management Information Systems; Decision Support Systems</t>
        </is>
      </c>
    </row>
    <row r="1239" ht="37.5" customHeight="1" s="91">
      <c r="A1239" s="128" t="n">
        <v>46</v>
      </c>
      <c r="B1239" s="128" t="inlineStr">
        <is>
          <t>BYU Marriott</t>
        </is>
      </c>
      <c r="C1239" s="128" t="inlineStr">
        <is>
          <t>Information Systems</t>
        </is>
      </c>
      <c r="D1239" s="128" t="inlineStr">
        <is>
          <t>Business Analytics</t>
        </is>
      </c>
      <c r="E1239" s="128" t="n">
        <v>2</v>
      </c>
      <c r="F1239" s="128" t="inlineStr">
        <is>
          <t>Information Systems Research; MIS Quarterly; Journal of Management Information Systems; Decision Support Systems</t>
        </is>
      </c>
    </row>
    <row r="1240" ht="37.5" customHeight="1" s="91">
      <c r="A1240" s="127" t="n">
        <v>46</v>
      </c>
      <c r="B1240" s="127" t="inlineStr">
        <is>
          <t>BYU Marriott</t>
        </is>
      </c>
      <c r="C1240" s="127" t="inlineStr">
        <is>
          <t>Information Systems</t>
        </is>
      </c>
      <c r="D1240" s="127" t="inlineStr">
        <is>
          <t>Technology Management</t>
        </is>
      </c>
      <c r="E1240" s="127" t="n">
        <v>2</v>
      </c>
      <c r="F1240" s="127" t="inlineStr">
        <is>
          <t>Information Systems Research; MIS Quarterly; Journal of Management Information Systems; Decision Support Systems</t>
        </is>
      </c>
    </row>
    <row r="1241" ht="37.5" customHeight="1" s="91">
      <c r="A1241" s="128" t="n">
        <v>46</v>
      </c>
      <c r="B1241" s="128" t="inlineStr">
        <is>
          <t>BYU Marriott</t>
        </is>
      </c>
      <c r="C1241" s="128" t="inlineStr">
        <is>
          <t>Information Systems</t>
        </is>
      </c>
      <c r="D1241" s="128" t="inlineStr">
        <is>
          <t>Data Science</t>
        </is>
      </c>
      <c r="E1241" s="128" t="n">
        <v>1</v>
      </c>
      <c r="F1241" s="128" t="inlineStr">
        <is>
          <t>Information Systems Research; MIS Quarterly; Journal of Management Information Systems; Decision Support Systems</t>
        </is>
      </c>
    </row>
    <row r="1242" ht="37.5" customHeight="1" s="91">
      <c r="A1242" s="127" t="n">
        <v>46</v>
      </c>
      <c r="B1242" s="127" t="inlineStr">
        <is>
          <t>BYU Marriott</t>
        </is>
      </c>
      <c r="C1242" s="127" t="inlineStr">
        <is>
          <t>Marketing</t>
        </is>
      </c>
      <c r="D1242" s="127" t="inlineStr">
        <is>
          <t>Consumer Behavior</t>
        </is>
      </c>
      <c r="E1242" s="127" t="n">
        <v>2</v>
      </c>
      <c r="F1242" s="127" t="inlineStr">
        <is>
          <t>Journal of Marketing Research; Journal of Marketing; Marketing Science; Journal of Consumer Research</t>
        </is>
      </c>
    </row>
    <row r="1243" ht="37.5" customHeight="1" s="91">
      <c r="A1243" s="128" t="n">
        <v>46</v>
      </c>
      <c r="B1243" s="128" t="inlineStr">
        <is>
          <t>BYU Marriott</t>
        </is>
      </c>
      <c r="C1243" s="128" t="inlineStr">
        <is>
          <t>Marketing</t>
        </is>
      </c>
      <c r="D1243" s="128" t="inlineStr">
        <is>
          <t>Marketing Analytics</t>
        </is>
      </c>
      <c r="E1243" s="128" t="n">
        <v>2</v>
      </c>
      <c r="F1243" s="128" t="inlineStr">
        <is>
          <t>Journal of Marketing Research; Journal of Marketing; Marketing Science; Journal of Consumer Research</t>
        </is>
      </c>
    </row>
    <row r="1244" ht="37.5" customHeight="1" s="91">
      <c r="A1244" s="127" t="n">
        <v>46</v>
      </c>
      <c r="B1244" s="127" t="inlineStr">
        <is>
          <t>BYU Marriott</t>
        </is>
      </c>
      <c r="C1244" s="127" t="inlineStr">
        <is>
          <t>Marketing</t>
        </is>
      </c>
      <c r="D1244" s="127" t="inlineStr">
        <is>
          <t>Digital Marketing</t>
        </is>
      </c>
      <c r="E1244" s="127" t="n">
        <v>2</v>
      </c>
      <c r="F1244" s="127" t="inlineStr">
        <is>
          <t>Journal of Marketing Research; Journal of Marketing; Marketing Science; Journal of Consumer Research</t>
        </is>
      </c>
    </row>
    <row r="1245" ht="37.5" customHeight="1" s="91">
      <c r="A1245" s="128" t="n">
        <v>46</v>
      </c>
      <c r="B1245" s="128" t="inlineStr">
        <is>
          <t>BYU Marriott</t>
        </is>
      </c>
      <c r="C1245" s="128" t="inlineStr">
        <is>
          <t>Marketing</t>
        </is>
      </c>
      <c r="D1245" s="128" t="inlineStr">
        <is>
          <t>Brand Management</t>
        </is>
      </c>
      <c r="E1245" s="128" t="n">
        <v>1</v>
      </c>
      <c r="F1245" s="128" t="inlineStr">
        <is>
          <t>Journal of Marketing Research; Journal of Marketing; Marketing Science; Journal of Consumer Research</t>
        </is>
      </c>
    </row>
    <row r="1246" ht="37.5" customHeight="1" s="91">
      <c r="A1246" s="127" t="n">
        <v>46</v>
      </c>
      <c r="B1246" s="127" t="inlineStr">
        <is>
          <t>BYU Marriott</t>
        </is>
      </c>
      <c r="C1246" s="127" t="inlineStr">
        <is>
          <t>Organizational Leadership &amp; Strategy</t>
        </is>
      </c>
      <c r="D1246" s="127" t="inlineStr">
        <is>
          <t>Competitive Strategy</t>
        </is>
      </c>
      <c r="E1246" s="127" t="n">
        <v>2</v>
      </c>
      <c r="F1246" s="127" t="inlineStr">
        <is>
          <t>Strategic Management Journal; Academy of Management Review; Organization Science; Journal of Economics &amp; Management Strategy</t>
        </is>
      </c>
    </row>
    <row r="1247" ht="37.5" customHeight="1" s="91">
      <c r="A1247" s="128" t="n">
        <v>46</v>
      </c>
      <c r="B1247" s="128" t="inlineStr">
        <is>
          <t>BYU Marriott</t>
        </is>
      </c>
      <c r="C1247" s="128" t="inlineStr">
        <is>
          <t>Organizational Leadership &amp; Strategy</t>
        </is>
      </c>
      <c r="D1247" s="128" t="inlineStr">
        <is>
          <t>Corporate Strategy</t>
        </is>
      </c>
      <c r="E1247" s="128" t="n">
        <v>2</v>
      </c>
      <c r="F1247" s="128" t="inlineStr">
        <is>
          <t>Strategic Management Journal; Academy of Management Review; Organization Science; Journal of Economics &amp; Management Strategy</t>
        </is>
      </c>
    </row>
    <row r="1248" ht="37.5" customHeight="1" s="91">
      <c r="A1248" s="127" t="n">
        <v>46</v>
      </c>
      <c r="B1248" s="127" t="inlineStr">
        <is>
          <t>BYU Marriott</t>
        </is>
      </c>
      <c r="C1248" s="127" t="inlineStr">
        <is>
          <t>Organizational Leadership &amp; Strategy</t>
        </is>
      </c>
      <c r="D1248" s="127" t="inlineStr">
        <is>
          <t>Innovation</t>
        </is>
      </c>
      <c r="E1248" s="127" t="n">
        <v>2</v>
      </c>
      <c r="F1248" s="127" t="inlineStr">
        <is>
          <t>Strategic Management Journal; Academy of Management Review; Organization Science; Journal of Economics &amp; Management Strategy</t>
        </is>
      </c>
    </row>
    <row r="1249" ht="37.5" customHeight="1" s="91">
      <c r="A1249" s="128" t="n">
        <v>46</v>
      </c>
      <c r="B1249" s="128" t="inlineStr">
        <is>
          <t>BYU Marriott</t>
        </is>
      </c>
      <c r="C1249" s="128" t="inlineStr">
        <is>
          <t>Organizational Leadership &amp; Strategy</t>
        </is>
      </c>
      <c r="D1249" s="128" t="inlineStr">
        <is>
          <t>Strategic Management</t>
        </is>
      </c>
      <c r="E1249" s="128" t="n">
        <v>2</v>
      </c>
      <c r="F1249" s="128" t="inlineStr">
        <is>
          <t>Strategic Management Journal; Academy of Management Review; Organization Science; Journal of Economics &amp; Management Strategy</t>
        </is>
      </c>
    </row>
    <row r="1250" ht="37.5" customHeight="1" s="91">
      <c r="A1250" s="127" t="n">
        <v>47</v>
      </c>
      <c r="B1250" s="127" t="inlineStr">
        <is>
          <t>Rochester Simon</t>
        </is>
      </c>
      <c r="C1250" s="127" t="inlineStr">
        <is>
          <t>Accounting</t>
        </is>
      </c>
      <c r="D1250" s="127" t="inlineStr">
        <is>
          <t>Financial Accounting</t>
        </is>
      </c>
      <c r="E1250" s="127" t="n">
        <v>2</v>
      </c>
      <c r="F1250" s="127" t="inlineStr">
        <is>
          <t>The Accounting Review; Journal of Accounting Research; Journal of Accounting &amp; Economics; Review of Accounting Studies</t>
        </is>
      </c>
    </row>
    <row r="1251" ht="37.5" customHeight="1" s="91">
      <c r="A1251" s="128" t="n">
        <v>47</v>
      </c>
      <c r="B1251" s="128" t="inlineStr">
        <is>
          <t>Rochester Simon</t>
        </is>
      </c>
      <c r="C1251" s="128" t="inlineStr">
        <is>
          <t>Accounting</t>
        </is>
      </c>
      <c r="D1251" s="128" t="inlineStr">
        <is>
          <t>Managerial Accounting</t>
        </is>
      </c>
      <c r="E1251" s="128" t="n">
        <v>2</v>
      </c>
      <c r="F1251" s="128" t="inlineStr">
        <is>
          <t>The Accounting Review; Journal of Accounting Research; Journal of Accounting &amp; Economics; Review of Accounting Studies</t>
        </is>
      </c>
    </row>
    <row r="1252" ht="37.5" customHeight="1" s="91">
      <c r="A1252" s="127" t="n">
        <v>47</v>
      </c>
      <c r="B1252" s="127" t="inlineStr">
        <is>
          <t>Rochester Simon</t>
        </is>
      </c>
      <c r="C1252" s="127" t="inlineStr">
        <is>
          <t>Accounting</t>
        </is>
      </c>
      <c r="D1252" s="127" t="inlineStr">
        <is>
          <t>Auditing &amp; Assurance</t>
        </is>
      </c>
      <c r="E1252" s="127" t="n">
        <v>2</v>
      </c>
      <c r="F1252" s="127" t="inlineStr">
        <is>
          <t>The Accounting Review; Journal of Accounting Research; Journal of Accounting &amp; Economics; Review of Accounting Studies</t>
        </is>
      </c>
    </row>
    <row r="1253" ht="37.5" customHeight="1" s="91">
      <c r="A1253" s="128" t="n">
        <v>47</v>
      </c>
      <c r="B1253" s="128" t="inlineStr">
        <is>
          <t>Rochester Simon</t>
        </is>
      </c>
      <c r="C1253" s="128" t="inlineStr">
        <is>
          <t>Accounting</t>
        </is>
      </c>
      <c r="D1253" s="128" t="inlineStr">
        <is>
          <t>Tax</t>
        </is>
      </c>
      <c r="E1253" s="128" t="n">
        <v>2</v>
      </c>
      <c r="F1253" s="128" t="inlineStr">
        <is>
          <t>The Accounting Review; Journal of Accounting Research; Journal of Accounting &amp; Economics; Review of Accounting Studies</t>
        </is>
      </c>
    </row>
    <row r="1254" ht="37.5" customHeight="1" s="91">
      <c r="A1254" s="127" t="n">
        <v>47</v>
      </c>
      <c r="B1254" s="127" t="inlineStr">
        <is>
          <t>Rochester Simon</t>
        </is>
      </c>
      <c r="C1254" s="127" t="inlineStr">
        <is>
          <t>Economics &amp; Management</t>
        </is>
      </c>
      <c r="D1254" s="127" t="inlineStr">
        <is>
          <t>Microeconomics</t>
        </is>
      </c>
      <c r="E1254" s="127" t="n">
        <v>3</v>
      </c>
      <c r="F1254" s="127" t="inlineStr">
        <is>
          <t>American Economic Review; Econometrica; Quarterly Journal of Economics; Review of Economic Studies</t>
        </is>
      </c>
    </row>
    <row r="1255" ht="37.5" customHeight="1" s="91">
      <c r="A1255" s="128" t="n">
        <v>47</v>
      </c>
      <c r="B1255" s="128" t="inlineStr">
        <is>
          <t>Rochester Simon</t>
        </is>
      </c>
      <c r="C1255" s="128" t="inlineStr">
        <is>
          <t>Economics &amp; Management</t>
        </is>
      </c>
      <c r="D1255" s="128" t="inlineStr">
        <is>
          <t>Macroeconomics</t>
        </is>
      </c>
      <c r="E1255" s="128" t="n">
        <v>2</v>
      </c>
      <c r="F1255" s="128" t="inlineStr">
        <is>
          <t>American Economic Review; Econometrica; Quarterly Journal of Economics; Review of Economic Studies</t>
        </is>
      </c>
    </row>
    <row r="1256" ht="37.5" customHeight="1" s="91">
      <c r="A1256" s="127" t="n">
        <v>47</v>
      </c>
      <c r="B1256" s="127" t="inlineStr">
        <is>
          <t>Rochester Simon</t>
        </is>
      </c>
      <c r="C1256" s="127" t="inlineStr">
        <is>
          <t>Economics &amp; Management</t>
        </is>
      </c>
      <c r="D1256" s="127" t="inlineStr">
        <is>
          <t>Applied Economics</t>
        </is>
      </c>
      <c r="E1256" s="127" t="n">
        <v>2</v>
      </c>
      <c r="F1256" s="127" t="inlineStr">
        <is>
          <t>American Economic Review; Econometrica; Quarterly Journal of Economics; Review of Economic Studies</t>
        </is>
      </c>
    </row>
    <row r="1257" ht="37.5" customHeight="1" s="91">
      <c r="A1257" s="128" t="n">
        <v>47</v>
      </c>
      <c r="B1257" s="128" t="inlineStr">
        <is>
          <t>Rochester Simon</t>
        </is>
      </c>
      <c r="C1257" s="128" t="inlineStr">
        <is>
          <t>Economics &amp; Management</t>
        </is>
      </c>
      <c r="D1257" s="128" t="inlineStr">
        <is>
          <t>Industrial Organization</t>
        </is>
      </c>
      <c r="E1257" s="128" t="n">
        <v>2</v>
      </c>
      <c r="F1257" s="128" t="inlineStr">
        <is>
          <t>American Economic Review; Econometrica; Quarterly Journal of Economics; Review of Economic Studies</t>
        </is>
      </c>
    </row>
    <row r="1258" ht="37.5" customHeight="1" s="91">
      <c r="A1258" s="127" t="n">
        <v>47</v>
      </c>
      <c r="B1258" s="127" t="inlineStr">
        <is>
          <t>Rochester Simon</t>
        </is>
      </c>
      <c r="C1258" s="127" t="inlineStr">
        <is>
          <t>Finance</t>
        </is>
      </c>
      <c r="D1258" s="127" t="inlineStr">
        <is>
          <t>Corporate Finance</t>
        </is>
      </c>
      <c r="E1258" s="127" t="n">
        <v>3</v>
      </c>
      <c r="F1258" s="127" t="inlineStr">
        <is>
          <t>Journal of Finance; Review of Financial Studies; Journal of Financial Economics; Journal of Financial &amp; Quantitative Analysis</t>
        </is>
      </c>
    </row>
    <row r="1259" ht="37.5" customHeight="1" s="91">
      <c r="A1259" s="128" t="n">
        <v>47</v>
      </c>
      <c r="B1259" s="128" t="inlineStr">
        <is>
          <t>Rochester Simon</t>
        </is>
      </c>
      <c r="C1259" s="128" t="inlineStr">
        <is>
          <t>Finance</t>
        </is>
      </c>
      <c r="D1259" s="128" t="inlineStr">
        <is>
          <t>Asset Pricing</t>
        </is>
      </c>
      <c r="E1259" s="128" t="n">
        <v>3</v>
      </c>
      <c r="F1259" s="128" t="inlineStr">
        <is>
          <t>Journal of Finance; Review of Financial Studies; Journal of Financial Economics; Journal of Financial &amp; Quantitative Analysis</t>
        </is>
      </c>
    </row>
    <row r="1260" ht="37.5" customHeight="1" s="91">
      <c r="A1260" s="127" t="n">
        <v>47</v>
      </c>
      <c r="B1260" s="127" t="inlineStr">
        <is>
          <t>Rochester Simon</t>
        </is>
      </c>
      <c r="C1260" s="127" t="inlineStr">
        <is>
          <t>Finance</t>
        </is>
      </c>
      <c r="D1260" s="127" t="inlineStr">
        <is>
          <t>Banking &amp; Financial Institutions</t>
        </is>
      </c>
      <c r="E1260" s="127" t="n">
        <v>2</v>
      </c>
      <c r="F1260" s="127" t="inlineStr">
        <is>
          <t>Journal of Finance; Review of Financial Studies; Journal of Financial Economics; Journal of Financial &amp; Quantitative Analysis</t>
        </is>
      </c>
    </row>
    <row r="1261" ht="37.5" customHeight="1" s="91">
      <c r="A1261" s="128" t="n">
        <v>47</v>
      </c>
      <c r="B1261" s="128" t="inlineStr">
        <is>
          <t>Rochester Simon</t>
        </is>
      </c>
      <c r="C1261" s="128" t="inlineStr">
        <is>
          <t>Finance</t>
        </is>
      </c>
      <c r="D1261" s="128" t="inlineStr">
        <is>
          <t>International Finance</t>
        </is>
      </c>
      <c r="E1261" s="128" t="n">
        <v>2</v>
      </c>
      <c r="F1261" s="128" t="inlineStr">
        <is>
          <t>Journal of Finance; Review of Financial Studies; Journal of Financial Economics; Journal of Financial &amp; Quantitative Analysis</t>
        </is>
      </c>
    </row>
    <row r="1262" ht="37.5" customHeight="1" s="91">
      <c r="A1262" s="127" t="n">
        <v>47</v>
      </c>
      <c r="B1262" s="127" t="inlineStr">
        <is>
          <t>Rochester Simon</t>
        </is>
      </c>
      <c r="C1262" s="127" t="inlineStr">
        <is>
          <t>Marketing</t>
        </is>
      </c>
      <c r="D1262" s="127" t="inlineStr">
        <is>
          <t>Consumer Behavior</t>
        </is>
      </c>
      <c r="E1262" s="127" t="n">
        <v>2</v>
      </c>
      <c r="F1262" s="127" t="inlineStr">
        <is>
          <t>Journal of Marketing Research; Journal of Marketing; Marketing Science; Journal of Consumer Research</t>
        </is>
      </c>
    </row>
    <row r="1263" ht="37.5" customHeight="1" s="91">
      <c r="A1263" s="128" t="n">
        <v>47</v>
      </c>
      <c r="B1263" s="128" t="inlineStr">
        <is>
          <t>Rochester Simon</t>
        </is>
      </c>
      <c r="C1263" s="128" t="inlineStr">
        <is>
          <t>Marketing</t>
        </is>
      </c>
      <c r="D1263" s="128" t="inlineStr">
        <is>
          <t>Marketing Analytics</t>
        </is>
      </c>
      <c r="E1263" s="128" t="n">
        <v>2</v>
      </c>
      <c r="F1263" s="128" t="inlineStr">
        <is>
          <t>Journal of Marketing Research; Journal of Marketing; Marketing Science; Journal of Consumer Research</t>
        </is>
      </c>
    </row>
    <row r="1264" ht="37.5" customHeight="1" s="91">
      <c r="A1264" s="127" t="n">
        <v>47</v>
      </c>
      <c r="B1264" s="127" t="inlineStr">
        <is>
          <t>Rochester Simon</t>
        </is>
      </c>
      <c r="C1264" s="127" t="inlineStr">
        <is>
          <t>Marketing</t>
        </is>
      </c>
      <c r="D1264" s="127" t="inlineStr">
        <is>
          <t>Digital Marketing</t>
        </is>
      </c>
      <c r="E1264" s="127" t="n">
        <v>2</v>
      </c>
      <c r="F1264" s="127" t="inlineStr">
        <is>
          <t>Journal of Marketing Research; Journal of Marketing; Marketing Science; Journal of Consumer Research</t>
        </is>
      </c>
    </row>
    <row r="1265" ht="37.5" customHeight="1" s="91">
      <c r="A1265" s="128" t="n">
        <v>47</v>
      </c>
      <c r="B1265" s="128" t="inlineStr">
        <is>
          <t>Rochester Simon</t>
        </is>
      </c>
      <c r="C1265" s="128" t="inlineStr">
        <is>
          <t>Marketing</t>
        </is>
      </c>
      <c r="D1265" s="128" t="inlineStr">
        <is>
          <t>Brand Management</t>
        </is>
      </c>
      <c r="E1265" s="128" t="n">
        <v>2</v>
      </c>
      <c r="F1265" s="128" t="inlineStr">
        <is>
          <t>Journal of Marketing Research; Journal of Marketing; Marketing Science; Journal of Consumer Research</t>
        </is>
      </c>
    </row>
    <row r="1266" ht="37.5" customHeight="1" s="91">
      <c r="A1266" s="127" t="n">
        <v>47</v>
      </c>
      <c r="B1266" s="127" t="inlineStr">
        <is>
          <t>Rochester Simon</t>
        </is>
      </c>
      <c r="C1266" s="127" t="inlineStr">
        <is>
          <t>Operations Management</t>
        </is>
      </c>
      <c r="D1266" s="127" t="inlineStr">
        <is>
          <t>Supply Chain Management</t>
        </is>
      </c>
      <c r="E1266" s="127" t="n">
        <v>2</v>
      </c>
      <c r="F1266" s="127" t="inlineStr">
        <is>
          <t>Management Science; Operations Research; Manufacturing &amp; Service Operations Management; Production &amp; Operations Management</t>
        </is>
      </c>
    </row>
    <row r="1267" ht="37.5" customHeight="1" s="91">
      <c r="A1267" s="128" t="n">
        <v>47</v>
      </c>
      <c r="B1267" s="128" t="inlineStr">
        <is>
          <t>Rochester Simon</t>
        </is>
      </c>
      <c r="C1267" s="128" t="inlineStr">
        <is>
          <t>Operations Management</t>
        </is>
      </c>
      <c r="D1267" s="128" t="inlineStr">
        <is>
          <t>Operations Research</t>
        </is>
      </c>
      <c r="E1267" s="128" t="n">
        <v>2</v>
      </c>
      <c r="F1267" s="128" t="inlineStr">
        <is>
          <t>Management Science; Operations Research; Manufacturing &amp; Service Operations Management; Production &amp; Operations Management</t>
        </is>
      </c>
    </row>
    <row r="1268" ht="37.5" customHeight="1" s="91">
      <c r="A1268" s="127" t="n">
        <v>47</v>
      </c>
      <c r="B1268" s="127" t="inlineStr">
        <is>
          <t>Rochester Simon</t>
        </is>
      </c>
      <c r="C1268" s="127" t="inlineStr">
        <is>
          <t>Operations Management</t>
        </is>
      </c>
      <c r="D1268" s="127" t="inlineStr">
        <is>
          <t>Process Optimization</t>
        </is>
      </c>
      <c r="E1268" s="127" t="n">
        <v>2</v>
      </c>
      <c r="F1268" s="127" t="inlineStr">
        <is>
          <t>Management Science; Operations Research; Manufacturing &amp; Service Operations Management; Production &amp; Operations Management</t>
        </is>
      </c>
    </row>
    <row r="1269" ht="37.5" customHeight="1" s="91">
      <c r="A1269" s="128" t="n">
        <v>47</v>
      </c>
      <c r="B1269" s="128" t="inlineStr">
        <is>
          <t>Rochester Simon</t>
        </is>
      </c>
      <c r="C1269" s="128" t="inlineStr">
        <is>
          <t>Operations Management</t>
        </is>
      </c>
      <c r="D1269" s="128" t="inlineStr">
        <is>
          <t>Analytics</t>
        </is>
      </c>
      <c r="E1269" s="128" t="n">
        <v>2</v>
      </c>
      <c r="F1269" s="128" t="inlineStr">
        <is>
          <t>Management Science; Operations Research; Manufacturing &amp; Service Operations Management; Production &amp; Operations Management</t>
        </is>
      </c>
    </row>
    <row r="1270" ht="37.5" customHeight="1" s="91">
      <c r="A1270" s="127" t="n">
        <v>48</v>
      </c>
      <c r="B1270" s="127" t="inlineStr">
        <is>
          <t>Wake Forest SoB</t>
        </is>
      </c>
      <c r="C1270" s="127" t="inlineStr">
        <is>
          <t>Accountancy</t>
        </is>
      </c>
      <c r="D1270" s="127" t="inlineStr">
        <is>
          <t>Financial Accounting</t>
        </is>
      </c>
      <c r="E1270" s="127" t="n">
        <v>3</v>
      </c>
      <c r="F1270" s="127" t="inlineStr">
        <is>
          <t>The Accounting Review; Journal of Accounting Research; Journal of Accounting &amp; Economics; Review of Accounting Studies</t>
        </is>
      </c>
    </row>
    <row r="1271" ht="37.5" customHeight="1" s="91">
      <c r="A1271" s="128" t="n">
        <v>48</v>
      </c>
      <c r="B1271" s="128" t="inlineStr">
        <is>
          <t>Wake Forest SoB</t>
        </is>
      </c>
      <c r="C1271" s="128" t="inlineStr">
        <is>
          <t>Accountancy</t>
        </is>
      </c>
      <c r="D1271" s="128" t="inlineStr">
        <is>
          <t>Managerial Accounting</t>
        </is>
      </c>
      <c r="E1271" s="128" t="n">
        <v>3</v>
      </c>
      <c r="F1271" s="128" t="inlineStr">
        <is>
          <t>The Accounting Review; Journal of Accounting Research; Journal of Accounting &amp; Economics; Review of Accounting Studies</t>
        </is>
      </c>
    </row>
    <row r="1272" ht="37.5" customHeight="1" s="91">
      <c r="A1272" s="127" t="n">
        <v>48</v>
      </c>
      <c r="B1272" s="127" t="inlineStr">
        <is>
          <t>Wake Forest SoB</t>
        </is>
      </c>
      <c r="C1272" s="127" t="inlineStr">
        <is>
          <t>Accountancy</t>
        </is>
      </c>
      <c r="D1272" s="127" t="inlineStr">
        <is>
          <t>Auditing &amp; Assurance</t>
        </is>
      </c>
      <c r="E1272" s="127" t="n">
        <v>3</v>
      </c>
      <c r="F1272" s="127" t="inlineStr">
        <is>
          <t>The Accounting Review; Journal of Accounting Research; Journal of Accounting &amp; Economics; Review of Accounting Studies</t>
        </is>
      </c>
    </row>
    <row r="1273" ht="37.5" customHeight="1" s="91">
      <c r="A1273" s="128" t="n">
        <v>48</v>
      </c>
      <c r="B1273" s="128" t="inlineStr">
        <is>
          <t>Wake Forest SoB</t>
        </is>
      </c>
      <c r="C1273" s="128" t="inlineStr">
        <is>
          <t>Accountancy</t>
        </is>
      </c>
      <c r="D1273" s="128" t="inlineStr">
        <is>
          <t>Tax</t>
        </is>
      </c>
      <c r="E1273" s="128" t="n">
        <v>2</v>
      </c>
      <c r="F1273" s="128" t="inlineStr">
        <is>
          <t>The Accounting Review; Journal of Accounting Research; Journal of Accounting &amp; Economics; Review of Accounting Studies</t>
        </is>
      </c>
    </row>
    <row r="1274" ht="37.5" customHeight="1" s="91">
      <c r="A1274" s="127" t="n">
        <v>48</v>
      </c>
      <c r="B1274" s="127" t="inlineStr">
        <is>
          <t>Wake Forest SoB</t>
        </is>
      </c>
      <c r="C1274" s="127" t="inlineStr">
        <is>
          <t>Finance &amp; Economics</t>
        </is>
      </c>
      <c r="D1274" s="127" t="inlineStr">
        <is>
          <t>Corporate Finance</t>
        </is>
      </c>
      <c r="E1274" s="127" t="n">
        <v>4</v>
      </c>
      <c r="F1274" s="127" t="inlineStr">
        <is>
          <t>Journal of Finance; Review of Financial Studies; Journal of Financial Economics; Journal of Financial &amp; Quantitative Analysis</t>
        </is>
      </c>
    </row>
    <row r="1275" ht="37.5" customHeight="1" s="91">
      <c r="A1275" s="128" t="n">
        <v>48</v>
      </c>
      <c r="B1275" s="128" t="inlineStr">
        <is>
          <t>Wake Forest SoB</t>
        </is>
      </c>
      <c r="C1275" s="128" t="inlineStr">
        <is>
          <t>Finance &amp; Economics</t>
        </is>
      </c>
      <c r="D1275" s="128" t="inlineStr">
        <is>
          <t>Asset Pricing</t>
        </is>
      </c>
      <c r="E1275" s="128" t="n">
        <v>4</v>
      </c>
      <c r="F1275" s="128" t="inlineStr">
        <is>
          <t>Journal of Finance; Review of Financial Studies; Journal of Financial Economics; Journal of Financial &amp; Quantitative Analysis</t>
        </is>
      </c>
    </row>
    <row r="1276" ht="37.5" customHeight="1" s="91">
      <c r="A1276" s="127" t="n">
        <v>48</v>
      </c>
      <c r="B1276" s="127" t="inlineStr">
        <is>
          <t>Wake Forest SoB</t>
        </is>
      </c>
      <c r="C1276" s="127" t="inlineStr">
        <is>
          <t>Finance &amp; Economics</t>
        </is>
      </c>
      <c r="D1276" s="127" t="inlineStr">
        <is>
          <t>Banking &amp; Financial Institutions</t>
        </is>
      </c>
      <c r="E1276" s="127" t="n">
        <v>4</v>
      </c>
      <c r="F1276" s="127" t="inlineStr">
        <is>
          <t>Journal of Finance; Review of Financial Studies; Journal of Financial Economics; Journal of Financial &amp; Quantitative Analysis</t>
        </is>
      </c>
    </row>
    <row r="1277" ht="37.5" customHeight="1" s="91">
      <c r="A1277" s="128" t="n">
        <v>48</v>
      </c>
      <c r="B1277" s="128" t="inlineStr">
        <is>
          <t>Wake Forest SoB</t>
        </is>
      </c>
      <c r="C1277" s="128" t="inlineStr">
        <is>
          <t>Finance &amp; Economics</t>
        </is>
      </c>
      <c r="D1277" s="128" t="inlineStr">
        <is>
          <t>International Finance</t>
        </is>
      </c>
      <c r="E1277" s="128" t="n">
        <v>3</v>
      </c>
      <c r="F1277" s="128" t="inlineStr">
        <is>
          <t>Journal of Finance; Review of Financial Studies; Journal of Financial Economics; Journal of Financial &amp; Quantitative Analysis</t>
        </is>
      </c>
    </row>
    <row r="1278" ht="37.5" customHeight="1" s="91">
      <c r="A1278" s="127" t="n">
        <v>48</v>
      </c>
      <c r="B1278" s="127" t="inlineStr">
        <is>
          <t>Wake Forest SoB</t>
        </is>
      </c>
      <c r="C1278" s="127" t="inlineStr">
        <is>
          <t>Management</t>
        </is>
      </c>
      <c r="D1278" s="127" t="inlineStr">
        <is>
          <t>Strategic Management</t>
        </is>
      </c>
      <c r="E1278" s="127" t="n">
        <v>3</v>
      </c>
      <c r="F1278" s="127" t="inlineStr">
        <is>
          <t>Academy of Management Review; Academy of Management Journal; Administrative Science Quarterly; Strategic Management Journal</t>
        </is>
      </c>
    </row>
    <row r="1279" ht="37.5" customHeight="1" s="91">
      <c r="A1279" s="128" t="n">
        <v>48</v>
      </c>
      <c r="B1279" s="128" t="inlineStr">
        <is>
          <t>Wake Forest SoB</t>
        </is>
      </c>
      <c r="C1279" s="128" t="inlineStr">
        <is>
          <t>Management</t>
        </is>
      </c>
      <c r="D1279" s="128" t="inlineStr">
        <is>
          <t>Organizational Theory</t>
        </is>
      </c>
      <c r="E1279" s="128" t="n">
        <v>3</v>
      </c>
      <c r="F1279" s="128" t="inlineStr">
        <is>
          <t>Academy of Management Review; Academy of Management Journal; Administrative Science Quarterly; Strategic Management Journal</t>
        </is>
      </c>
    </row>
    <row r="1280" ht="37.5" customHeight="1" s="91">
      <c r="A1280" s="127" t="n">
        <v>48</v>
      </c>
      <c r="B1280" s="127" t="inlineStr">
        <is>
          <t>Wake Forest SoB</t>
        </is>
      </c>
      <c r="C1280" s="127" t="inlineStr">
        <is>
          <t>Management</t>
        </is>
      </c>
      <c r="D1280" s="127" t="inlineStr">
        <is>
          <t>Leadership</t>
        </is>
      </c>
      <c r="E1280" s="127" t="n">
        <v>3</v>
      </c>
      <c r="F1280" s="127" t="inlineStr">
        <is>
          <t>Academy of Management Review; Academy of Management Journal; Administrative Science Quarterly; Strategic Management Journal</t>
        </is>
      </c>
    </row>
    <row r="1281" ht="37.5" customHeight="1" s="91">
      <c r="A1281" s="128" t="n">
        <v>48</v>
      </c>
      <c r="B1281" s="128" t="inlineStr">
        <is>
          <t>Wake Forest SoB</t>
        </is>
      </c>
      <c r="C1281" s="128" t="inlineStr">
        <is>
          <t>Management</t>
        </is>
      </c>
      <c r="D1281" s="128" t="inlineStr">
        <is>
          <t>Entrepreneurship</t>
        </is>
      </c>
      <c r="E1281" s="128" t="n">
        <v>3</v>
      </c>
      <c r="F1281" s="128" t="inlineStr">
        <is>
          <t>Academy of Management Review; Academy of Management Journal; Administrative Science Quarterly; Strategic Management Journal</t>
        </is>
      </c>
    </row>
    <row r="1282" ht="37.5" customHeight="1" s="91">
      <c r="A1282" s="127" t="n">
        <v>48</v>
      </c>
      <c r="B1282" s="127" t="inlineStr">
        <is>
          <t>Wake Forest SoB</t>
        </is>
      </c>
      <c r="C1282" s="127" t="inlineStr">
        <is>
          <t>Analytics, Information Systems, Marketing &amp; Operations Management</t>
        </is>
      </c>
      <c r="D1282" s="127" t="inlineStr">
        <is>
          <t>Consumer Behavior</t>
        </is>
      </c>
      <c r="E1282" s="127" t="n">
        <v>3</v>
      </c>
      <c r="F1282" s="127" t="inlineStr">
        <is>
          <t>Journal of Marketing Research; Journal of Marketing; Marketing Science; Journal of Consumer Research</t>
        </is>
      </c>
    </row>
    <row r="1283" ht="37.5" customHeight="1" s="91">
      <c r="A1283" s="128" t="n">
        <v>48</v>
      </c>
      <c r="B1283" s="128" t="inlineStr">
        <is>
          <t>Wake Forest SoB</t>
        </is>
      </c>
      <c r="C1283" s="128" t="inlineStr">
        <is>
          <t>Analytics, Information Systems, Marketing &amp; Operations Management</t>
        </is>
      </c>
      <c r="D1283" s="128" t="inlineStr">
        <is>
          <t>Marketing Analytics</t>
        </is>
      </c>
      <c r="E1283" s="128" t="n">
        <v>3</v>
      </c>
      <c r="F1283" s="128" t="inlineStr">
        <is>
          <t>Journal of Marketing Research; Journal of Marketing; Marketing Science; Journal of Consumer Research</t>
        </is>
      </c>
    </row>
    <row r="1284" ht="37.5" customHeight="1" s="91">
      <c r="A1284" s="127" t="n">
        <v>48</v>
      </c>
      <c r="B1284" s="127" t="inlineStr">
        <is>
          <t>Wake Forest SoB</t>
        </is>
      </c>
      <c r="C1284" s="127" t="inlineStr">
        <is>
          <t>Analytics, Information Systems, Marketing &amp; Operations Management</t>
        </is>
      </c>
      <c r="D1284" s="127" t="inlineStr">
        <is>
          <t>Digital Marketing</t>
        </is>
      </c>
      <c r="E1284" s="127" t="n">
        <v>3</v>
      </c>
      <c r="F1284" s="127" t="inlineStr">
        <is>
          <t>Journal of Marketing Research; Journal of Marketing; Marketing Science; Journal of Consumer Research</t>
        </is>
      </c>
    </row>
    <row r="1285" ht="37.5" customHeight="1" s="91">
      <c r="A1285" s="128" t="n">
        <v>48</v>
      </c>
      <c r="B1285" s="128" t="inlineStr">
        <is>
          <t>Wake Forest SoB</t>
        </is>
      </c>
      <c r="C1285" s="128" t="inlineStr">
        <is>
          <t>Analytics, Information Systems, Marketing &amp; Operations Management</t>
        </is>
      </c>
      <c r="D1285" s="128" t="inlineStr">
        <is>
          <t>Brand Management</t>
        </is>
      </c>
      <c r="E1285" s="128" t="n">
        <v>3</v>
      </c>
      <c r="F1285" s="128" t="inlineStr">
        <is>
          <t>Journal of Marketing Research; Journal of Marketing; Marketing Science; Journal of Consumer Research</t>
        </is>
      </c>
    </row>
    <row r="1286" ht="37.5" customHeight="1" s="91">
      <c r="A1286" s="127" t="n">
        <v>49</v>
      </c>
      <c r="B1286" s="127" t="inlineStr">
        <is>
          <t>Temple Fox</t>
        </is>
      </c>
      <c r="C1286" s="127" t="inlineStr">
        <is>
          <t>Accounting</t>
        </is>
      </c>
      <c r="D1286" s="127" t="inlineStr">
        <is>
          <t>Financial Accounting</t>
        </is>
      </c>
      <c r="E1286" s="127" t="n">
        <v>2</v>
      </c>
      <c r="F1286" s="127" t="inlineStr">
        <is>
          <t>The Accounting Review; Journal of Accounting Research; Journal of Accounting &amp; Economics; Review of Accounting Studies</t>
        </is>
      </c>
    </row>
    <row r="1287" ht="37.5" customHeight="1" s="91">
      <c r="A1287" s="128" t="n">
        <v>49</v>
      </c>
      <c r="B1287" s="128" t="inlineStr">
        <is>
          <t>Temple Fox</t>
        </is>
      </c>
      <c r="C1287" s="128" t="inlineStr">
        <is>
          <t>Accounting</t>
        </is>
      </c>
      <c r="D1287" s="128" t="inlineStr">
        <is>
          <t>Managerial Accounting</t>
        </is>
      </c>
      <c r="E1287" s="128" t="n">
        <v>2</v>
      </c>
      <c r="F1287" s="128" t="inlineStr">
        <is>
          <t>The Accounting Review; Journal of Accounting Research; Journal of Accounting &amp; Economics; Review of Accounting Studies</t>
        </is>
      </c>
    </row>
    <row r="1288" ht="37.5" customHeight="1" s="91">
      <c r="A1288" s="127" t="n">
        <v>49</v>
      </c>
      <c r="B1288" s="127" t="inlineStr">
        <is>
          <t>Temple Fox</t>
        </is>
      </c>
      <c r="C1288" s="127" t="inlineStr">
        <is>
          <t>Accounting</t>
        </is>
      </c>
      <c r="D1288" s="127" t="inlineStr">
        <is>
          <t>Auditing &amp; Assurance</t>
        </is>
      </c>
      <c r="E1288" s="127" t="n">
        <v>2</v>
      </c>
      <c r="F1288" s="127" t="inlineStr">
        <is>
          <t>The Accounting Review; Journal of Accounting Research; Journal of Accounting &amp; Economics; Review of Accounting Studies</t>
        </is>
      </c>
    </row>
    <row r="1289" ht="37.5" customHeight="1" s="91">
      <c r="A1289" s="128" t="n">
        <v>49</v>
      </c>
      <c r="B1289" s="128" t="inlineStr">
        <is>
          <t>Temple Fox</t>
        </is>
      </c>
      <c r="C1289" s="128" t="inlineStr">
        <is>
          <t>Accounting</t>
        </is>
      </c>
      <c r="D1289" s="128" t="inlineStr">
        <is>
          <t>Tax</t>
        </is>
      </c>
      <c r="E1289" s="128" t="n">
        <v>2</v>
      </c>
      <c r="F1289" s="128" t="inlineStr">
        <is>
          <t>The Accounting Review; Journal of Accounting Research; Journal of Accounting &amp; Economics; Review of Accounting Studies</t>
        </is>
      </c>
    </row>
    <row r="1290" ht="37.5" customHeight="1" s="91">
      <c r="A1290" s="127" t="n">
        <v>49</v>
      </c>
      <c r="B1290" s="127" t="inlineStr">
        <is>
          <t>Temple Fox</t>
        </is>
      </c>
      <c r="C1290" s="127" t="inlineStr">
        <is>
          <t>Finance</t>
        </is>
      </c>
      <c r="D1290" s="127" t="inlineStr">
        <is>
          <t>Corporate Finance</t>
        </is>
      </c>
      <c r="E1290" s="127" t="n">
        <v>3</v>
      </c>
      <c r="F1290" s="127" t="inlineStr">
        <is>
          <t>Journal of Finance; Review of Financial Studies; Journal of Financial Economics; Journal of Financial &amp; Quantitative Analysis</t>
        </is>
      </c>
    </row>
    <row r="1291" ht="37.5" customHeight="1" s="91">
      <c r="A1291" s="128" t="n">
        <v>49</v>
      </c>
      <c r="B1291" s="128" t="inlineStr">
        <is>
          <t>Temple Fox</t>
        </is>
      </c>
      <c r="C1291" s="128" t="inlineStr">
        <is>
          <t>Finance</t>
        </is>
      </c>
      <c r="D1291" s="128" t="inlineStr">
        <is>
          <t>Asset Pricing</t>
        </is>
      </c>
      <c r="E1291" s="128" t="n">
        <v>3</v>
      </c>
      <c r="F1291" s="128" t="inlineStr">
        <is>
          <t>Journal of Finance; Review of Financial Studies; Journal of Financial Economics; Journal of Financial &amp; Quantitative Analysis</t>
        </is>
      </c>
    </row>
    <row r="1292" ht="37.5" customHeight="1" s="91">
      <c r="A1292" s="127" t="n">
        <v>49</v>
      </c>
      <c r="B1292" s="127" t="inlineStr">
        <is>
          <t>Temple Fox</t>
        </is>
      </c>
      <c r="C1292" s="127" t="inlineStr">
        <is>
          <t>Finance</t>
        </is>
      </c>
      <c r="D1292" s="127" t="inlineStr">
        <is>
          <t>Banking &amp; Financial Institutions</t>
        </is>
      </c>
      <c r="E1292" s="127" t="n">
        <v>3</v>
      </c>
      <c r="F1292" s="127" t="inlineStr">
        <is>
          <t>Journal of Finance; Review of Financial Studies; Journal of Financial Economics; Journal of Financial &amp; Quantitative Analysis</t>
        </is>
      </c>
    </row>
    <row r="1293" ht="37.5" customHeight="1" s="91">
      <c r="A1293" s="128" t="n">
        <v>49</v>
      </c>
      <c r="B1293" s="128" t="inlineStr">
        <is>
          <t>Temple Fox</t>
        </is>
      </c>
      <c r="C1293" s="128" t="inlineStr">
        <is>
          <t>Finance</t>
        </is>
      </c>
      <c r="D1293" s="128" t="inlineStr">
        <is>
          <t>International Finance</t>
        </is>
      </c>
      <c r="E1293" s="128" t="n">
        <v>2</v>
      </c>
      <c r="F1293" s="128" t="inlineStr">
        <is>
          <t>Journal of Finance; Review of Financial Studies; Journal of Financial Economics; Journal of Financial &amp; Quantitative Analysis</t>
        </is>
      </c>
    </row>
    <row r="1294" ht="37.5" customHeight="1" s="91">
      <c r="A1294" s="127" t="n">
        <v>49</v>
      </c>
      <c r="B1294" s="127" t="inlineStr">
        <is>
          <t>Temple Fox</t>
        </is>
      </c>
      <c r="C1294" s="127" t="inlineStr">
        <is>
          <t>Human Resource Management</t>
        </is>
      </c>
      <c r="D1294" s="127" t="inlineStr">
        <is>
          <t>Strategic Management</t>
        </is>
      </c>
      <c r="E1294" s="127" t="n">
        <v>3</v>
      </c>
      <c r="F1294" s="127" t="inlineStr">
        <is>
          <t>Academy of Management Review; Academy of Management Journal; Administrative Science Quarterly; Strategic Management Journal</t>
        </is>
      </c>
    </row>
    <row r="1295" ht="37.5" customHeight="1" s="91">
      <c r="A1295" s="128" t="n">
        <v>49</v>
      </c>
      <c r="B1295" s="128" t="inlineStr">
        <is>
          <t>Temple Fox</t>
        </is>
      </c>
      <c r="C1295" s="128" t="inlineStr">
        <is>
          <t>Human Resource Management</t>
        </is>
      </c>
      <c r="D1295" s="128" t="inlineStr">
        <is>
          <t>Organizational Theory</t>
        </is>
      </c>
      <c r="E1295" s="128" t="n">
        <v>2</v>
      </c>
      <c r="F1295" s="128" t="inlineStr">
        <is>
          <t>Academy of Management Review; Academy of Management Journal; Administrative Science Quarterly; Strategic Management Journal</t>
        </is>
      </c>
    </row>
    <row r="1296" ht="37.5" customHeight="1" s="91">
      <c r="A1296" s="127" t="n">
        <v>49</v>
      </c>
      <c r="B1296" s="127" t="inlineStr">
        <is>
          <t>Temple Fox</t>
        </is>
      </c>
      <c r="C1296" s="127" t="inlineStr">
        <is>
          <t>Human Resource Management</t>
        </is>
      </c>
      <c r="D1296" s="127" t="inlineStr">
        <is>
          <t>Leadership</t>
        </is>
      </c>
      <c r="E1296" s="127" t="n">
        <v>2</v>
      </c>
      <c r="F1296" s="127" t="inlineStr">
        <is>
          <t>Academy of Management Review; Academy of Management Journal; Administrative Science Quarterly; Strategic Management Journal</t>
        </is>
      </c>
    </row>
    <row r="1297" ht="37.5" customHeight="1" s="91">
      <c r="A1297" s="128" t="n">
        <v>49</v>
      </c>
      <c r="B1297" s="128" t="inlineStr">
        <is>
          <t>Temple Fox</t>
        </is>
      </c>
      <c r="C1297" s="128" t="inlineStr">
        <is>
          <t>Human Resource Management</t>
        </is>
      </c>
      <c r="D1297" s="128" t="inlineStr">
        <is>
          <t>Entrepreneurship</t>
        </is>
      </c>
      <c r="E1297" s="128" t="n">
        <v>2</v>
      </c>
      <c r="F1297" s="128" t="inlineStr">
        <is>
          <t>Academy of Management Review; Academy of Management Journal; Administrative Science Quarterly; Strategic Management Journal</t>
        </is>
      </c>
    </row>
    <row r="1298" ht="37.5" customHeight="1" s="91">
      <c r="A1298" s="127" t="n">
        <v>49</v>
      </c>
      <c r="B1298" s="127" t="inlineStr">
        <is>
          <t>Temple Fox</t>
        </is>
      </c>
      <c r="C1298" s="127" t="inlineStr">
        <is>
          <t>Legal Studies in Business</t>
        </is>
      </c>
      <c r="D1298" s="127" t="inlineStr">
        <is>
          <t>Theory</t>
        </is>
      </c>
      <c r="E1298" s="127" t="n">
        <v>2</v>
      </c>
      <c r="F1298" s="127" t="inlineStr">
        <is>
          <t>Management Science; Academy of Management Journal; Journal of Business Research; Strategic Management Journal</t>
        </is>
      </c>
    </row>
    <row r="1299" ht="37.5" customHeight="1" s="91">
      <c r="A1299" s="128" t="n">
        <v>49</v>
      </c>
      <c r="B1299" s="128" t="inlineStr">
        <is>
          <t>Temple Fox</t>
        </is>
      </c>
      <c r="C1299" s="128" t="inlineStr">
        <is>
          <t>Legal Studies in Business</t>
        </is>
      </c>
      <c r="D1299" s="128" t="inlineStr">
        <is>
          <t>Empirical Research</t>
        </is>
      </c>
      <c r="E1299" s="128" t="n">
        <v>2</v>
      </c>
      <c r="F1299" s="128" t="inlineStr">
        <is>
          <t>Management Science; Academy of Management Journal; Journal of Business Research; Strategic Management Journal</t>
        </is>
      </c>
    </row>
    <row r="1300" ht="37.5" customHeight="1" s="91">
      <c r="A1300" s="127" t="n">
        <v>49</v>
      </c>
      <c r="B1300" s="127" t="inlineStr">
        <is>
          <t>Temple Fox</t>
        </is>
      </c>
      <c r="C1300" s="127" t="inlineStr">
        <is>
          <t>Legal Studies in Business</t>
        </is>
      </c>
      <c r="D1300" s="127" t="inlineStr">
        <is>
          <t>Applied Research</t>
        </is>
      </c>
      <c r="E1300" s="127" t="n">
        <v>2</v>
      </c>
      <c r="F1300" s="127" t="inlineStr">
        <is>
          <t>Management Science; Academy of Management Journal; Journal of Business Research; Strategic Management Journal</t>
        </is>
      </c>
    </row>
    <row r="1301" ht="37.5" customHeight="1" s="91">
      <c r="A1301" s="128" t="n">
        <v>49</v>
      </c>
      <c r="B1301" s="128" t="inlineStr">
        <is>
          <t>Temple Fox</t>
        </is>
      </c>
      <c r="C1301" s="128" t="inlineStr">
        <is>
          <t>Legal Studies in Business</t>
        </is>
      </c>
      <c r="D1301" s="128" t="inlineStr">
        <is>
          <t>Policy</t>
        </is>
      </c>
      <c r="E1301" s="128" t="n">
        <v>2</v>
      </c>
      <c r="F1301" s="128" t="inlineStr">
        <is>
          <t>Management Science; Academy of Management Journal; Journal of Business Research; Strategic Management Journal</t>
        </is>
      </c>
    </row>
    <row r="1302" ht="37.5" customHeight="1" s="91">
      <c r="A1302" s="127" t="n">
        <v>49</v>
      </c>
      <c r="B1302" s="127" t="inlineStr">
        <is>
          <t>Temple Fox</t>
        </is>
      </c>
      <c r="C1302" s="127" t="inlineStr">
        <is>
          <t>Management Information Systems</t>
        </is>
      </c>
      <c r="D1302" s="127" t="inlineStr">
        <is>
          <t>Information Systems</t>
        </is>
      </c>
      <c r="E1302" s="127" t="n">
        <v>3</v>
      </c>
      <c r="F1302" s="127" t="inlineStr">
        <is>
          <t>Information Systems Research; MIS Quarterly; Journal of Management Information Systems; Decision Support Systems</t>
        </is>
      </c>
    </row>
    <row r="1303" ht="37.5" customHeight="1" s="91">
      <c r="A1303" s="128" t="n">
        <v>49</v>
      </c>
      <c r="B1303" s="128" t="inlineStr">
        <is>
          <t>Temple Fox</t>
        </is>
      </c>
      <c r="C1303" s="128" t="inlineStr">
        <is>
          <t>Management Information Systems</t>
        </is>
      </c>
      <c r="D1303" s="128" t="inlineStr">
        <is>
          <t>Business Analytics</t>
        </is>
      </c>
      <c r="E1303" s="128" t="n">
        <v>2</v>
      </c>
      <c r="F1303" s="128" t="inlineStr">
        <is>
          <t>Information Systems Research; MIS Quarterly; Journal of Management Information Systems; Decision Support Systems</t>
        </is>
      </c>
    </row>
    <row r="1304" ht="37.5" customHeight="1" s="91">
      <c r="A1304" s="127" t="n">
        <v>49</v>
      </c>
      <c r="B1304" s="127" t="inlineStr">
        <is>
          <t>Temple Fox</t>
        </is>
      </c>
      <c r="C1304" s="127" t="inlineStr">
        <is>
          <t>Management Information Systems</t>
        </is>
      </c>
      <c r="D1304" s="127" t="inlineStr">
        <is>
          <t>Technology Management</t>
        </is>
      </c>
      <c r="E1304" s="127" t="n">
        <v>2</v>
      </c>
      <c r="F1304" s="127" t="inlineStr">
        <is>
          <t>Information Systems Research; MIS Quarterly; Journal of Management Information Systems; Decision Support Systems</t>
        </is>
      </c>
    </row>
    <row r="1305" ht="37.5" customHeight="1" s="91">
      <c r="A1305" s="128" t="n">
        <v>49</v>
      </c>
      <c r="B1305" s="128" t="inlineStr">
        <is>
          <t>Temple Fox</t>
        </is>
      </c>
      <c r="C1305" s="128" t="inlineStr">
        <is>
          <t>Management Information Systems</t>
        </is>
      </c>
      <c r="D1305" s="128" t="inlineStr">
        <is>
          <t>Data Science</t>
        </is>
      </c>
      <c r="E1305" s="128" t="n">
        <v>2</v>
      </c>
      <c r="F1305" s="128" t="inlineStr">
        <is>
          <t>Information Systems Research; MIS Quarterly; Journal of Management Information Systems; Decision Support Systems</t>
        </is>
      </c>
    </row>
    <row r="1306" ht="37.5" customHeight="1" s="91">
      <c r="A1306" s="127" t="n">
        <v>49</v>
      </c>
      <c r="B1306" s="127" t="inlineStr">
        <is>
          <t>Temple Fox</t>
        </is>
      </c>
      <c r="C1306" s="127" t="inlineStr">
        <is>
          <t>Marketing &amp; Supply Chain Management</t>
        </is>
      </c>
      <c r="D1306" s="127" t="inlineStr">
        <is>
          <t>Consumer Behavior</t>
        </is>
      </c>
      <c r="E1306" s="127" t="n">
        <v>3</v>
      </c>
      <c r="F1306" s="127" t="inlineStr">
        <is>
          <t>Journal of Marketing Research; Journal of Marketing; Marketing Science; Journal of Consumer Research</t>
        </is>
      </c>
    </row>
    <row r="1307" ht="37.5" customHeight="1" s="91">
      <c r="A1307" s="128" t="n">
        <v>49</v>
      </c>
      <c r="B1307" s="128" t="inlineStr">
        <is>
          <t>Temple Fox</t>
        </is>
      </c>
      <c r="C1307" s="128" t="inlineStr">
        <is>
          <t>Marketing &amp; Supply Chain Management</t>
        </is>
      </c>
      <c r="D1307" s="128" t="inlineStr">
        <is>
          <t>Marketing Analytics</t>
        </is>
      </c>
      <c r="E1307" s="128" t="n">
        <v>2</v>
      </c>
      <c r="F1307" s="128" t="inlineStr">
        <is>
          <t>Journal of Marketing Research; Journal of Marketing; Marketing Science; Journal of Consumer Research</t>
        </is>
      </c>
    </row>
    <row r="1308" ht="37.5" customHeight="1" s="91">
      <c r="A1308" s="127" t="n">
        <v>49</v>
      </c>
      <c r="B1308" s="127" t="inlineStr">
        <is>
          <t>Temple Fox</t>
        </is>
      </c>
      <c r="C1308" s="127" t="inlineStr">
        <is>
          <t>Marketing &amp; Supply Chain Management</t>
        </is>
      </c>
      <c r="D1308" s="127" t="inlineStr">
        <is>
          <t>Digital Marketing</t>
        </is>
      </c>
      <c r="E1308" s="127" t="n">
        <v>2</v>
      </c>
      <c r="F1308" s="127" t="inlineStr">
        <is>
          <t>Journal of Marketing Research; Journal of Marketing; Marketing Science; Journal of Consumer Research</t>
        </is>
      </c>
    </row>
    <row r="1309" ht="37.5" customHeight="1" s="91">
      <c r="A1309" s="128" t="n">
        <v>49</v>
      </c>
      <c r="B1309" s="128" t="inlineStr">
        <is>
          <t>Temple Fox</t>
        </is>
      </c>
      <c r="C1309" s="128" t="inlineStr">
        <is>
          <t>Marketing &amp; Supply Chain Management</t>
        </is>
      </c>
      <c r="D1309" s="128" t="inlineStr">
        <is>
          <t>Brand Management</t>
        </is>
      </c>
      <c r="E1309" s="128" t="n">
        <v>2</v>
      </c>
      <c r="F1309" s="128" t="inlineStr">
        <is>
          <t>Journal of Marketing Research; Journal of Marketing; Marketing Science; Journal of Consumer Research</t>
        </is>
      </c>
    </row>
    <row r="1310" ht="37.5" customHeight="1" s="91">
      <c r="A1310" s="127" t="n">
        <v>49</v>
      </c>
      <c r="B1310" s="127" t="inlineStr">
        <is>
          <t>Temple Fox</t>
        </is>
      </c>
      <c r="C1310" s="127" t="inlineStr">
        <is>
          <t>Risk, Insurance &amp; Healthcare Management</t>
        </is>
      </c>
      <c r="D1310" s="127" t="inlineStr">
        <is>
          <t>Strategic Management</t>
        </is>
      </c>
      <c r="E1310" s="127" t="n">
        <v>3</v>
      </c>
      <c r="F1310" s="127" t="inlineStr">
        <is>
          <t>Academy of Management Review; Academy of Management Journal; Administrative Science Quarterly; Strategic Management Journal</t>
        </is>
      </c>
    </row>
    <row r="1311" ht="37.5" customHeight="1" s="91">
      <c r="A1311" s="128" t="n">
        <v>49</v>
      </c>
      <c r="B1311" s="128" t="inlineStr">
        <is>
          <t>Temple Fox</t>
        </is>
      </c>
      <c r="C1311" s="128" t="inlineStr">
        <is>
          <t>Risk, Insurance &amp; Healthcare Management</t>
        </is>
      </c>
      <c r="D1311" s="128" t="inlineStr">
        <is>
          <t>Organizational Theory</t>
        </is>
      </c>
      <c r="E1311" s="128" t="n">
        <v>2</v>
      </c>
      <c r="F1311" s="128" t="inlineStr">
        <is>
          <t>Academy of Management Review; Academy of Management Journal; Administrative Science Quarterly; Strategic Management Journal</t>
        </is>
      </c>
    </row>
    <row r="1312" ht="37.5" customHeight="1" s="91">
      <c r="A1312" s="127" t="n">
        <v>49</v>
      </c>
      <c r="B1312" s="127" t="inlineStr">
        <is>
          <t>Temple Fox</t>
        </is>
      </c>
      <c r="C1312" s="127" t="inlineStr">
        <is>
          <t>Risk, Insurance &amp; Healthcare Management</t>
        </is>
      </c>
      <c r="D1312" s="127" t="inlineStr">
        <is>
          <t>Leadership</t>
        </is>
      </c>
      <c r="E1312" s="127" t="n">
        <v>2</v>
      </c>
      <c r="F1312" s="127" t="inlineStr">
        <is>
          <t>Academy of Management Review; Academy of Management Journal; Administrative Science Quarterly; Strategic Management Journal</t>
        </is>
      </c>
    </row>
    <row r="1313" ht="37.5" customHeight="1" s="91">
      <c r="A1313" s="128" t="n">
        <v>49</v>
      </c>
      <c r="B1313" s="128" t="inlineStr">
        <is>
          <t>Temple Fox</t>
        </is>
      </c>
      <c r="C1313" s="128" t="inlineStr">
        <is>
          <t>Risk, Insurance &amp; Healthcare Management</t>
        </is>
      </c>
      <c r="D1313" s="128" t="inlineStr">
        <is>
          <t>Entrepreneurship</t>
        </is>
      </c>
      <c r="E1313" s="128" t="n">
        <v>2</v>
      </c>
      <c r="F1313" s="128" t="inlineStr">
        <is>
          <t>Academy of Management Review; Academy of Management Journal; Administrative Science Quarterly; Strategic Management Journal</t>
        </is>
      </c>
    </row>
    <row r="1314" ht="37.5" customHeight="1" s="91">
      <c r="A1314" s="127" t="n">
        <v>49</v>
      </c>
      <c r="B1314" s="127" t="inlineStr">
        <is>
          <t>Temple Fox</t>
        </is>
      </c>
      <c r="C1314" s="127" t="inlineStr">
        <is>
          <t>Statistical Science</t>
        </is>
      </c>
      <c r="D1314" s="127" t="inlineStr">
        <is>
          <t>Theory</t>
        </is>
      </c>
      <c r="E1314" s="127" t="n">
        <v>2</v>
      </c>
      <c r="F1314" s="127" t="inlineStr">
        <is>
          <t>Management Science; Academy of Management Journal; Journal of Business Research; Strategic Management Journal</t>
        </is>
      </c>
    </row>
    <row r="1315" ht="37.5" customHeight="1" s="91">
      <c r="A1315" s="128" t="n">
        <v>49</v>
      </c>
      <c r="B1315" s="128" t="inlineStr">
        <is>
          <t>Temple Fox</t>
        </is>
      </c>
      <c r="C1315" s="128" t="inlineStr">
        <is>
          <t>Statistical Science</t>
        </is>
      </c>
      <c r="D1315" s="128" t="inlineStr">
        <is>
          <t>Empirical Research</t>
        </is>
      </c>
      <c r="E1315" s="128" t="n">
        <v>2</v>
      </c>
      <c r="F1315" s="128" t="inlineStr">
        <is>
          <t>Management Science; Academy of Management Journal; Journal of Business Research; Strategic Management Journal</t>
        </is>
      </c>
    </row>
    <row r="1316" ht="37.5" customHeight="1" s="91">
      <c r="A1316" s="127" t="n">
        <v>49</v>
      </c>
      <c r="B1316" s="127" t="inlineStr">
        <is>
          <t>Temple Fox</t>
        </is>
      </c>
      <c r="C1316" s="127" t="inlineStr">
        <is>
          <t>Statistical Science</t>
        </is>
      </c>
      <c r="D1316" s="127" t="inlineStr">
        <is>
          <t>Applied Research</t>
        </is>
      </c>
      <c r="E1316" s="127" t="n">
        <v>2</v>
      </c>
      <c r="F1316" s="127" t="inlineStr">
        <is>
          <t>Management Science; Academy of Management Journal; Journal of Business Research; Strategic Management Journal</t>
        </is>
      </c>
    </row>
    <row r="1317" ht="37.5" customHeight="1" s="91">
      <c r="A1317" s="128" t="n">
        <v>49</v>
      </c>
      <c r="B1317" s="128" t="inlineStr">
        <is>
          <t>Temple Fox</t>
        </is>
      </c>
      <c r="C1317" s="128" t="inlineStr">
        <is>
          <t>Statistical Science</t>
        </is>
      </c>
      <c r="D1317" s="128" t="inlineStr">
        <is>
          <t>Policy</t>
        </is>
      </c>
      <c r="E1317" s="128" t="n">
        <v>2</v>
      </c>
      <c r="F1317" s="128" t="inlineStr">
        <is>
          <t>Management Science; Academy of Management Journal; Journal of Business Research; Strategic Management Journal</t>
        </is>
      </c>
    </row>
    <row r="1318" ht="37.5" customHeight="1" s="91">
      <c r="A1318" s="127" t="n">
        <v>49</v>
      </c>
      <c r="B1318" s="127" t="inlineStr">
        <is>
          <t>Temple Fox</t>
        </is>
      </c>
      <c r="C1318" s="127" t="inlineStr">
        <is>
          <t>Strategic Management</t>
        </is>
      </c>
      <c r="D1318" s="127" t="inlineStr">
        <is>
          <t>Competitive Strategy</t>
        </is>
      </c>
      <c r="E1318" s="127" t="n">
        <v>2</v>
      </c>
      <c r="F1318" s="127" t="inlineStr">
        <is>
          <t>Strategic Management Journal; Academy of Management Review; Organization Science; Journal of Economics &amp; Management Strategy</t>
        </is>
      </c>
    </row>
    <row r="1319" ht="37.5" customHeight="1" s="91">
      <c r="A1319" s="128" t="n">
        <v>49</v>
      </c>
      <c r="B1319" s="128" t="inlineStr">
        <is>
          <t>Temple Fox</t>
        </is>
      </c>
      <c r="C1319" s="128" t="inlineStr">
        <is>
          <t>Strategic Management</t>
        </is>
      </c>
      <c r="D1319" s="128" t="inlineStr">
        <is>
          <t>Corporate Strategy</t>
        </is>
      </c>
      <c r="E1319" s="128" t="n">
        <v>2</v>
      </c>
      <c r="F1319" s="128" t="inlineStr">
        <is>
          <t>Strategic Management Journal; Academy of Management Review; Organization Science; Journal of Economics &amp; Management Strategy</t>
        </is>
      </c>
    </row>
    <row r="1320" ht="37.5" customHeight="1" s="91">
      <c r="A1320" s="127" t="n">
        <v>49</v>
      </c>
      <c r="B1320" s="127" t="inlineStr">
        <is>
          <t>Temple Fox</t>
        </is>
      </c>
      <c r="C1320" s="127" t="inlineStr">
        <is>
          <t>Strategic Management</t>
        </is>
      </c>
      <c r="D1320" s="127" t="inlineStr">
        <is>
          <t>Innovation</t>
        </is>
      </c>
      <c r="E1320" s="127" t="n">
        <v>2</v>
      </c>
      <c r="F1320" s="127" t="inlineStr">
        <is>
          <t>Strategic Management Journal; Academy of Management Review; Organization Science; Journal of Economics &amp; Management Strategy</t>
        </is>
      </c>
    </row>
    <row r="1321" ht="37.5" customHeight="1" s="91">
      <c r="A1321" s="128" t="n">
        <v>49</v>
      </c>
      <c r="B1321" s="128" t="inlineStr">
        <is>
          <t>Temple Fox</t>
        </is>
      </c>
      <c r="C1321" s="128" t="inlineStr">
        <is>
          <t>Strategic Management</t>
        </is>
      </c>
      <c r="D1321" s="128" t="inlineStr">
        <is>
          <t>Strategic Management</t>
        </is>
      </c>
      <c r="E1321" s="128" t="n">
        <v>2</v>
      </c>
      <c r="F1321" s="128" t="inlineStr">
        <is>
          <t>Strategic Management Journal; Academy of Management Review; Organization Science; Journal of Economics &amp; Management Strategy</t>
        </is>
      </c>
    </row>
    <row r="1322" ht="37.5" customHeight="1" s="91">
      <c r="A1322" s="127" t="n">
        <v>50</v>
      </c>
      <c r="B1322" s="127" t="inlineStr">
        <is>
          <t>Miami Herbert</t>
        </is>
      </c>
      <c r="C1322" s="127" t="inlineStr">
        <is>
          <t>Accounting</t>
        </is>
      </c>
      <c r="D1322" s="127" t="inlineStr">
        <is>
          <t>Financial Accounting</t>
        </is>
      </c>
      <c r="E1322" s="127" t="n">
        <v>2</v>
      </c>
      <c r="F1322" s="127" t="inlineStr">
        <is>
          <t>The Accounting Review; Journal of Accounting Research; Journal of Accounting &amp; Economics; Review of Accounting Studies</t>
        </is>
      </c>
    </row>
    <row r="1323" ht="37.5" customHeight="1" s="91">
      <c r="A1323" s="128" t="n">
        <v>50</v>
      </c>
      <c r="B1323" s="128" t="inlineStr">
        <is>
          <t>Miami Herbert</t>
        </is>
      </c>
      <c r="C1323" s="128" t="inlineStr">
        <is>
          <t>Accounting</t>
        </is>
      </c>
      <c r="D1323" s="128" t="inlineStr">
        <is>
          <t>Managerial Accounting</t>
        </is>
      </c>
      <c r="E1323" s="128" t="n">
        <v>2</v>
      </c>
      <c r="F1323" s="128" t="inlineStr">
        <is>
          <t>The Accounting Review; Journal of Accounting Research; Journal of Accounting &amp; Economics; Review of Accounting Studies</t>
        </is>
      </c>
    </row>
    <row r="1324" ht="37.5" customHeight="1" s="91">
      <c r="A1324" s="127" t="n">
        <v>50</v>
      </c>
      <c r="B1324" s="127" t="inlineStr">
        <is>
          <t>Miami Herbert</t>
        </is>
      </c>
      <c r="C1324" s="127" t="inlineStr">
        <is>
          <t>Accounting</t>
        </is>
      </c>
      <c r="D1324" s="127" t="inlineStr">
        <is>
          <t>Auditing &amp; Assurance</t>
        </is>
      </c>
      <c r="E1324" s="127" t="n">
        <v>2</v>
      </c>
      <c r="F1324" s="127" t="inlineStr">
        <is>
          <t>The Accounting Review; Journal of Accounting Research; Journal of Accounting &amp; Economics; Review of Accounting Studies</t>
        </is>
      </c>
    </row>
    <row r="1325" ht="37.5" customHeight="1" s="91">
      <c r="A1325" s="128" t="n">
        <v>50</v>
      </c>
      <c r="B1325" s="128" t="inlineStr">
        <is>
          <t>Miami Herbert</t>
        </is>
      </c>
      <c r="C1325" s="128" t="inlineStr">
        <is>
          <t>Accounting</t>
        </is>
      </c>
      <c r="D1325" s="128" t="inlineStr">
        <is>
          <t>Tax</t>
        </is>
      </c>
      <c r="E1325" s="128" t="n">
        <v>1</v>
      </c>
      <c r="F1325" s="128" t="inlineStr">
        <is>
          <t>The Accounting Review; Journal of Accounting Research; Journal of Accounting &amp; Economics; Review of Accounting Studies</t>
        </is>
      </c>
    </row>
    <row r="1326" ht="37.5" customHeight="1" s="91">
      <c r="A1326" s="127" t="n">
        <v>50</v>
      </c>
      <c r="B1326" s="127" t="inlineStr">
        <is>
          <t>Miami Herbert</t>
        </is>
      </c>
      <c r="C1326" s="127" t="inlineStr">
        <is>
          <t>Business Law</t>
        </is>
      </c>
      <c r="D1326" s="127" t="inlineStr">
        <is>
          <t>Theory</t>
        </is>
      </c>
      <c r="E1326" s="127" t="n">
        <v>2</v>
      </c>
      <c r="F1326" s="127" t="inlineStr">
        <is>
          <t>Management Science; Academy of Management Journal; Journal of Business Research; Strategic Management Journal</t>
        </is>
      </c>
    </row>
    <row r="1327" ht="37.5" customHeight="1" s="91">
      <c r="A1327" s="128" t="n">
        <v>50</v>
      </c>
      <c r="B1327" s="128" t="inlineStr">
        <is>
          <t>Miami Herbert</t>
        </is>
      </c>
      <c r="C1327" s="128" t="inlineStr">
        <is>
          <t>Business Law</t>
        </is>
      </c>
      <c r="D1327" s="128" t="inlineStr">
        <is>
          <t>Empirical Research</t>
        </is>
      </c>
      <c r="E1327" s="128" t="n">
        <v>2</v>
      </c>
      <c r="F1327" s="128" t="inlineStr">
        <is>
          <t>Management Science; Academy of Management Journal; Journal of Business Research; Strategic Management Journal</t>
        </is>
      </c>
    </row>
    <row r="1328" ht="37.5" customHeight="1" s="91">
      <c r="A1328" s="127" t="n">
        <v>50</v>
      </c>
      <c r="B1328" s="127" t="inlineStr">
        <is>
          <t>Miami Herbert</t>
        </is>
      </c>
      <c r="C1328" s="127" t="inlineStr">
        <is>
          <t>Business Law</t>
        </is>
      </c>
      <c r="D1328" s="127" t="inlineStr">
        <is>
          <t>Applied Research</t>
        </is>
      </c>
      <c r="E1328" s="127" t="n">
        <v>2</v>
      </c>
      <c r="F1328" s="127" t="inlineStr">
        <is>
          <t>Management Science; Academy of Management Journal; Journal of Business Research; Strategic Management Journal</t>
        </is>
      </c>
    </row>
    <row r="1329" ht="37.5" customHeight="1" s="91">
      <c r="A1329" s="128" t="n">
        <v>50</v>
      </c>
      <c r="B1329" s="128" t="inlineStr">
        <is>
          <t>Miami Herbert</t>
        </is>
      </c>
      <c r="C1329" s="128" t="inlineStr">
        <is>
          <t>Business Law</t>
        </is>
      </c>
      <c r="D1329" s="128" t="inlineStr">
        <is>
          <t>Policy</t>
        </is>
      </c>
      <c r="E1329" s="128" t="n">
        <v>1</v>
      </c>
      <c r="F1329" s="128" t="inlineStr">
        <is>
          <t>Management Science; Academy of Management Journal; Journal of Business Research; Strategic Management Journal</t>
        </is>
      </c>
    </row>
    <row r="1330" ht="37.5" customHeight="1" s="91">
      <c r="A1330" s="127" t="n">
        <v>50</v>
      </c>
      <c r="B1330" s="127" t="inlineStr">
        <is>
          <t>Miami Herbert</t>
        </is>
      </c>
      <c r="C1330" s="127" t="inlineStr">
        <is>
          <t>Business Technology</t>
        </is>
      </c>
      <c r="D1330" s="127" t="inlineStr">
        <is>
          <t>Information Systems</t>
        </is>
      </c>
      <c r="E1330" s="127" t="n">
        <v>2</v>
      </c>
      <c r="F1330" s="127" t="inlineStr">
        <is>
          <t>Information Systems Research; MIS Quarterly; Journal of Management Information Systems; Decision Support Systems</t>
        </is>
      </c>
    </row>
    <row r="1331" ht="37.5" customHeight="1" s="91">
      <c r="A1331" s="128" t="n">
        <v>50</v>
      </c>
      <c r="B1331" s="128" t="inlineStr">
        <is>
          <t>Miami Herbert</t>
        </is>
      </c>
      <c r="C1331" s="128" t="inlineStr">
        <is>
          <t>Business Technology</t>
        </is>
      </c>
      <c r="D1331" s="128" t="inlineStr">
        <is>
          <t>Business Analytics</t>
        </is>
      </c>
      <c r="E1331" s="128" t="n">
        <v>2</v>
      </c>
      <c r="F1331" s="128" t="inlineStr">
        <is>
          <t>Information Systems Research; MIS Quarterly; Journal of Management Information Systems; Decision Support Systems</t>
        </is>
      </c>
    </row>
    <row r="1332" ht="37.5" customHeight="1" s="91">
      <c r="A1332" s="127" t="n">
        <v>50</v>
      </c>
      <c r="B1332" s="127" t="inlineStr">
        <is>
          <t>Miami Herbert</t>
        </is>
      </c>
      <c r="C1332" s="127" t="inlineStr">
        <is>
          <t>Business Technology</t>
        </is>
      </c>
      <c r="D1332" s="127" t="inlineStr">
        <is>
          <t>Technology Management</t>
        </is>
      </c>
      <c r="E1332" s="127" t="n">
        <v>2</v>
      </c>
      <c r="F1332" s="127" t="inlineStr">
        <is>
          <t>Information Systems Research; MIS Quarterly; Journal of Management Information Systems; Decision Support Systems</t>
        </is>
      </c>
    </row>
    <row r="1333" ht="37.5" customHeight="1" s="91">
      <c r="A1333" s="128" t="n">
        <v>50</v>
      </c>
      <c r="B1333" s="128" t="inlineStr">
        <is>
          <t>Miami Herbert</t>
        </is>
      </c>
      <c r="C1333" s="128" t="inlineStr">
        <is>
          <t>Business Technology</t>
        </is>
      </c>
      <c r="D1333" s="128" t="inlineStr">
        <is>
          <t>Data Science</t>
        </is>
      </c>
      <c r="E1333" s="128" t="n">
        <v>1</v>
      </c>
      <c r="F1333" s="128" t="inlineStr">
        <is>
          <t>Information Systems Research; MIS Quarterly; Journal of Management Information Systems; Decision Support Systems</t>
        </is>
      </c>
    </row>
    <row r="1334" ht="37.5" customHeight="1" s="91">
      <c r="A1334" s="127" t="n">
        <v>50</v>
      </c>
      <c r="B1334" s="127" t="inlineStr">
        <is>
          <t>Miami Herbert</t>
        </is>
      </c>
      <c r="C1334" s="127" t="inlineStr">
        <is>
          <t>Economics</t>
        </is>
      </c>
      <c r="D1334" s="127" t="inlineStr">
        <is>
          <t>Microeconomics</t>
        </is>
      </c>
      <c r="E1334" s="127" t="n">
        <v>2</v>
      </c>
      <c r="F1334" s="127" t="inlineStr">
        <is>
          <t>American Economic Review; Econometrica; Quarterly Journal of Economics; Review of Economic Studies</t>
        </is>
      </c>
    </row>
    <row r="1335" ht="37.5" customHeight="1" s="91">
      <c r="A1335" s="128" t="n">
        <v>50</v>
      </c>
      <c r="B1335" s="128" t="inlineStr">
        <is>
          <t>Miami Herbert</t>
        </is>
      </c>
      <c r="C1335" s="128" t="inlineStr">
        <is>
          <t>Economics</t>
        </is>
      </c>
      <c r="D1335" s="128" t="inlineStr">
        <is>
          <t>Macroeconomics</t>
        </is>
      </c>
      <c r="E1335" s="128" t="n">
        <v>2</v>
      </c>
      <c r="F1335" s="128" t="inlineStr">
        <is>
          <t>American Economic Review; Econometrica; Quarterly Journal of Economics; Review of Economic Studies</t>
        </is>
      </c>
    </row>
    <row r="1336" ht="37.5" customHeight="1" s="91">
      <c r="A1336" s="127" t="n">
        <v>50</v>
      </c>
      <c r="B1336" s="127" t="inlineStr">
        <is>
          <t>Miami Herbert</t>
        </is>
      </c>
      <c r="C1336" s="127" t="inlineStr">
        <is>
          <t>Economics</t>
        </is>
      </c>
      <c r="D1336" s="127" t="inlineStr">
        <is>
          <t>Applied Economics</t>
        </is>
      </c>
      <c r="E1336" s="127" t="n">
        <v>2</v>
      </c>
      <c r="F1336" s="127" t="inlineStr">
        <is>
          <t>American Economic Review; Econometrica; Quarterly Journal of Economics; Review of Economic Studies</t>
        </is>
      </c>
    </row>
    <row r="1337" ht="37.5" customHeight="1" s="91">
      <c r="A1337" s="128" t="n">
        <v>50</v>
      </c>
      <c r="B1337" s="128" t="inlineStr">
        <is>
          <t>Miami Herbert</t>
        </is>
      </c>
      <c r="C1337" s="128" t="inlineStr">
        <is>
          <t>Economics</t>
        </is>
      </c>
      <c r="D1337" s="128" t="inlineStr">
        <is>
          <t>Industrial Organization</t>
        </is>
      </c>
      <c r="E1337" s="128" t="n">
        <v>1</v>
      </c>
      <c r="F1337" s="128" t="inlineStr">
        <is>
          <t>American Economic Review; Econometrica; Quarterly Journal of Economics; Review of Economic Studies</t>
        </is>
      </c>
    </row>
    <row r="1338" ht="37.5" customHeight="1" s="91">
      <c r="A1338" s="127" t="n">
        <v>50</v>
      </c>
      <c r="B1338" s="127" t="inlineStr">
        <is>
          <t>Miami Herbert</t>
        </is>
      </c>
      <c r="C1338" s="127" t="inlineStr">
        <is>
          <t>Finance</t>
        </is>
      </c>
      <c r="D1338" s="127" t="inlineStr">
        <is>
          <t>Corporate Finance</t>
        </is>
      </c>
      <c r="E1338" s="127" t="n">
        <v>3</v>
      </c>
      <c r="F1338" s="127" t="inlineStr">
        <is>
          <t>Journal of Finance; Review of Financial Studies; Journal of Financial Economics; Journal of Financial &amp; Quantitative Analysis</t>
        </is>
      </c>
    </row>
    <row r="1339" ht="37.5" customHeight="1" s="91">
      <c r="A1339" s="128" t="n">
        <v>50</v>
      </c>
      <c r="B1339" s="128" t="inlineStr">
        <is>
          <t>Miami Herbert</t>
        </is>
      </c>
      <c r="C1339" s="128" t="inlineStr">
        <is>
          <t>Finance</t>
        </is>
      </c>
      <c r="D1339" s="128" t="inlineStr">
        <is>
          <t>Asset Pricing</t>
        </is>
      </c>
      <c r="E1339" s="128" t="n">
        <v>2</v>
      </c>
      <c r="F1339" s="128" t="inlineStr">
        <is>
          <t>Journal of Finance; Review of Financial Studies; Journal of Financial Economics; Journal of Financial &amp; Quantitative Analysis</t>
        </is>
      </c>
    </row>
    <row r="1340" ht="37.5" customHeight="1" s="91">
      <c r="A1340" s="127" t="n">
        <v>50</v>
      </c>
      <c r="B1340" s="127" t="inlineStr">
        <is>
          <t>Miami Herbert</t>
        </is>
      </c>
      <c r="C1340" s="127" t="inlineStr">
        <is>
          <t>Finance</t>
        </is>
      </c>
      <c r="D1340" s="127" t="inlineStr">
        <is>
          <t>Banking &amp; Financial Institutions</t>
        </is>
      </c>
      <c r="E1340" s="127" t="n">
        <v>2</v>
      </c>
      <c r="F1340" s="127" t="inlineStr">
        <is>
          <t>Journal of Finance; Review of Financial Studies; Journal of Financial Economics; Journal of Financial &amp; Quantitative Analysis</t>
        </is>
      </c>
    </row>
    <row r="1341" ht="37.5" customHeight="1" s="91">
      <c r="A1341" s="128" t="n">
        <v>50</v>
      </c>
      <c r="B1341" s="128" t="inlineStr">
        <is>
          <t>Miami Herbert</t>
        </is>
      </c>
      <c r="C1341" s="128" t="inlineStr">
        <is>
          <t>Finance</t>
        </is>
      </c>
      <c r="D1341" s="128" t="inlineStr">
        <is>
          <t>International Finance</t>
        </is>
      </c>
      <c r="E1341" s="128" t="n">
        <v>2</v>
      </c>
      <c r="F1341" s="128" t="inlineStr">
        <is>
          <t>Journal of Finance; Review of Financial Studies; Journal of Financial Economics; Journal of Financial &amp; Quantitative Analysis</t>
        </is>
      </c>
    </row>
    <row r="1342" ht="37.5" customHeight="1" s="91">
      <c r="A1342" s="127" t="n">
        <v>50</v>
      </c>
      <c r="B1342" s="127" t="inlineStr">
        <is>
          <t>Miami Herbert</t>
        </is>
      </c>
      <c r="C1342" s="127" t="inlineStr">
        <is>
          <t>Management</t>
        </is>
      </c>
      <c r="D1342" s="127" t="inlineStr">
        <is>
          <t>Strategic Management</t>
        </is>
      </c>
      <c r="E1342" s="127" t="n">
        <v>2</v>
      </c>
      <c r="F1342" s="127" t="inlineStr">
        <is>
          <t>Academy of Management Review; Academy of Management Journal; Administrative Science Quarterly; Strategic Management Journal</t>
        </is>
      </c>
    </row>
    <row r="1343" ht="37.5" customHeight="1" s="91">
      <c r="A1343" s="128" t="n">
        <v>50</v>
      </c>
      <c r="B1343" s="128" t="inlineStr">
        <is>
          <t>Miami Herbert</t>
        </is>
      </c>
      <c r="C1343" s="128" t="inlineStr">
        <is>
          <t>Management</t>
        </is>
      </c>
      <c r="D1343" s="128" t="inlineStr">
        <is>
          <t>Organizational Theory</t>
        </is>
      </c>
      <c r="E1343" s="128" t="n">
        <v>2</v>
      </c>
      <c r="F1343" s="128" t="inlineStr">
        <is>
          <t>Academy of Management Review; Academy of Management Journal; Administrative Science Quarterly; Strategic Management Journal</t>
        </is>
      </c>
    </row>
    <row r="1344" ht="37.5" customHeight="1" s="91">
      <c r="A1344" s="127" t="n">
        <v>50</v>
      </c>
      <c r="B1344" s="127" t="inlineStr">
        <is>
          <t>Miami Herbert</t>
        </is>
      </c>
      <c r="C1344" s="127" t="inlineStr">
        <is>
          <t>Management</t>
        </is>
      </c>
      <c r="D1344" s="127" t="inlineStr">
        <is>
          <t>Leadership</t>
        </is>
      </c>
      <c r="E1344" s="127" t="n">
        <v>2</v>
      </c>
      <c r="F1344" s="127" t="inlineStr">
        <is>
          <t>Academy of Management Review; Academy of Management Journal; Administrative Science Quarterly; Strategic Management Journal</t>
        </is>
      </c>
    </row>
    <row r="1345" ht="37.5" customHeight="1" s="91">
      <c r="A1345" s="128" t="n">
        <v>50</v>
      </c>
      <c r="B1345" s="128" t="inlineStr">
        <is>
          <t>Miami Herbert</t>
        </is>
      </c>
      <c r="C1345" s="128" t="inlineStr">
        <is>
          <t>Management</t>
        </is>
      </c>
      <c r="D1345" s="128" t="inlineStr">
        <is>
          <t>Entrepreneurship</t>
        </is>
      </c>
      <c r="E1345" s="128" t="n">
        <v>2</v>
      </c>
      <c r="F1345" s="128" t="inlineStr">
        <is>
          <t>Academy of Management Review; Academy of Management Journal; Administrative Science Quarterly; Strategic Management Journal</t>
        </is>
      </c>
    </row>
    <row r="1346" ht="37.5" customHeight="1" s="91">
      <c r="A1346" s="127" t="n">
        <v>50</v>
      </c>
      <c r="B1346" s="127" t="inlineStr">
        <is>
          <t>Miami Herbert</t>
        </is>
      </c>
      <c r="C1346" s="127" t="inlineStr">
        <is>
          <t>Management Science</t>
        </is>
      </c>
      <c r="D1346" s="127" t="inlineStr">
        <is>
          <t>Strategic Management</t>
        </is>
      </c>
      <c r="E1346" s="127" t="n">
        <v>2</v>
      </c>
      <c r="F1346" s="127" t="inlineStr">
        <is>
          <t>Academy of Management Review; Academy of Management Journal; Administrative Science Quarterly; Strategic Management Journal</t>
        </is>
      </c>
    </row>
    <row r="1347" ht="37.5" customHeight="1" s="91">
      <c r="A1347" s="128" t="n">
        <v>50</v>
      </c>
      <c r="B1347" s="128" t="inlineStr">
        <is>
          <t>Miami Herbert</t>
        </is>
      </c>
      <c r="C1347" s="128" t="inlineStr">
        <is>
          <t>Management Science</t>
        </is>
      </c>
      <c r="D1347" s="128" t="inlineStr">
        <is>
          <t>Organizational Theory</t>
        </is>
      </c>
      <c r="E1347" s="128" t="n">
        <v>2</v>
      </c>
      <c r="F1347" s="128" t="inlineStr">
        <is>
          <t>Academy of Management Review; Academy of Management Journal; Administrative Science Quarterly; Strategic Management Journal</t>
        </is>
      </c>
    </row>
    <row r="1348" ht="37.5" customHeight="1" s="91">
      <c r="A1348" s="127" t="n">
        <v>50</v>
      </c>
      <c r="B1348" s="127" t="inlineStr">
        <is>
          <t>Miami Herbert</t>
        </is>
      </c>
      <c r="C1348" s="127" t="inlineStr">
        <is>
          <t>Management Science</t>
        </is>
      </c>
      <c r="D1348" s="127" t="inlineStr">
        <is>
          <t>Leadership</t>
        </is>
      </c>
      <c r="E1348" s="127" t="n">
        <v>2</v>
      </c>
      <c r="F1348" s="127" t="inlineStr">
        <is>
          <t>Academy of Management Review; Academy of Management Journal; Administrative Science Quarterly; Strategic Management Journal</t>
        </is>
      </c>
    </row>
    <row r="1349" ht="37.5" customHeight="1" s="91">
      <c r="A1349" s="128" t="n">
        <v>50</v>
      </c>
      <c r="B1349" s="128" t="inlineStr">
        <is>
          <t>Miami Herbert</t>
        </is>
      </c>
      <c r="C1349" s="128" t="inlineStr">
        <is>
          <t>Management Science</t>
        </is>
      </c>
      <c r="D1349" s="128" t="inlineStr">
        <is>
          <t>Entrepreneurship</t>
        </is>
      </c>
      <c r="E1349" s="128" t="n">
        <v>2</v>
      </c>
      <c r="F1349" s="128" t="inlineStr">
        <is>
          <t>Academy of Management Review; Academy of Management Journal; Administrative Science Quarterly; Strategic Management Journal</t>
        </is>
      </c>
    </row>
    <row r="1350" ht="37.5" customHeight="1" s="91">
      <c r="A1350" s="127" t="n">
        <v>50</v>
      </c>
      <c r="B1350" s="127" t="inlineStr">
        <is>
          <t>Miami Herbert</t>
        </is>
      </c>
      <c r="C1350" s="127" t="inlineStr">
        <is>
          <t>Marketing</t>
        </is>
      </c>
      <c r="D1350" s="127" t="inlineStr">
        <is>
          <t>Consumer Behavior</t>
        </is>
      </c>
      <c r="E1350" s="127" t="n">
        <v>2</v>
      </c>
      <c r="F1350" s="127" t="inlineStr">
        <is>
          <t>Journal of Marketing Research; Journal of Marketing; Marketing Science; Journal of Consumer Research</t>
        </is>
      </c>
    </row>
    <row r="1351" ht="37.5" customHeight="1" s="91">
      <c r="A1351" s="128" t="n">
        <v>50</v>
      </c>
      <c r="B1351" s="128" t="inlineStr">
        <is>
          <t>Miami Herbert</t>
        </is>
      </c>
      <c r="C1351" s="128" t="inlineStr">
        <is>
          <t>Marketing</t>
        </is>
      </c>
      <c r="D1351" s="128" t="inlineStr">
        <is>
          <t>Marketing Analytics</t>
        </is>
      </c>
      <c r="E1351" s="128" t="n">
        <v>2</v>
      </c>
      <c r="F1351" s="128" t="inlineStr">
        <is>
          <t>Journal of Marketing Research; Journal of Marketing; Marketing Science; Journal of Consumer Research</t>
        </is>
      </c>
    </row>
    <row r="1352" ht="37.5" customHeight="1" s="91">
      <c r="A1352" s="127" t="n">
        <v>50</v>
      </c>
      <c r="B1352" s="127" t="inlineStr">
        <is>
          <t>Miami Herbert</t>
        </is>
      </c>
      <c r="C1352" s="127" t="inlineStr">
        <is>
          <t>Marketing</t>
        </is>
      </c>
      <c r="D1352" s="127" t="inlineStr">
        <is>
          <t>Digital Marketing</t>
        </is>
      </c>
      <c r="E1352" s="127" t="n">
        <v>2</v>
      </c>
      <c r="F1352" s="127" t="inlineStr">
        <is>
          <t>Journal of Marketing Research; Journal of Marketing; Marketing Science; Journal of Consumer Research</t>
        </is>
      </c>
    </row>
    <row r="1353" ht="37.5" customHeight="1" s="91">
      <c r="A1353" s="128" t="n">
        <v>50</v>
      </c>
      <c r="B1353" s="128" t="inlineStr">
        <is>
          <t>Miami Herbert</t>
        </is>
      </c>
      <c r="C1353" s="128" t="inlineStr">
        <is>
          <t>Marketing</t>
        </is>
      </c>
      <c r="D1353" s="128" t="inlineStr">
        <is>
          <t>Brand Management</t>
        </is>
      </c>
      <c r="E1353" s="128" t="n">
        <v>2</v>
      </c>
      <c r="F1353" s="128" t="inlineStr">
        <is>
          <t>Journal of Marketing Research; Journal of Marketing; Marketing Science; Journal of Consumer Research</t>
        </is>
      </c>
    </row>
    <row r="1354" ht="37.5" customHeight="1" s="91">
      <c r="A1354" s="129" t="n"/>
      <c r="B1354" s="130" t="n"/>
      <c r="C1354" s="130" t="n"/>
      <c r="D1354" s="130" t="n"/>
      <c r="E1354" s="132">
        <f>SUM(E4:E1275)</f>
        <v/>
      </c>
      <c r="F1354" s="131" t="n"/>
    </row>
    <row r="1355" ht="37.5" customHeight="1" s="91">
      <c r="A1355" s="129" t="n"/>
      <c r="B1355" s="130" t="n"/>
      <c r="C1355" s="130" t="n"/>
      <c r="D1355" s="130" t="n"/>
      <c r="E1355" s="129" t="n"/>
      <c r="F1355" s="131" t="n"/>
    </row>
    <row r="1356" ht="37.5" customHeight="1" s="91">
      <c r="A1356" s="129" t="n"/>
      <c r="B1356" s="130" t="n"/>
      <c r="C1356" s="130" t="n"/>
      <c r="D1356" s="130" t="n"/>
      <c r="E1356" s="129" t="n"/>
      <c r="F1356" s="131" t="n"/>
    </row>
    <row r="1357" ht="37.5" customHeight="1" s="91">
      <c r="A1357" s="129" t="n"/>
      <c r="B1357" s="130" t="n"/>
      <c r="C1357" s="130" t="n"/>
      <c r="D1357" s="130" t="n"/>
      <c r="E1357" s="129" t="n"/>
      <c r="F1357" s="131" t="n"/>
    </row>
    <row r="1358" ht="37.5" customHeight="1" s="91">
      <c r="A1358" s="129" t="n"/>
      <c r="B1358" s="130" t="n"/>
      <c r="C1358" s="130" t="n"/>
      <c r="D1358" s="130" t="n"/>
      <c r="E1358" s="129" t="n"/>
      <c r="F1358" s="131" t="n"/>
    </row>
    <row r="1359" ht="14.25" customHeight="1" s="91">
      <c r="A1359" s="129" t="n"/>
      <c r="B1359" s="130" t="n"/>
      <c r="C1359" s="130" t="n"/>
      <c r="D1359" s="130" t="n"/>
      <c r="E1359" s="129" t="n"/>
      <c r="F1359" s="131" t="n"/>
    </row>
    <row r="1360" ht="14.25" customHeight="1" s="91">
      <c r="A1360" s="129" t="n"/>
      <c r="B1360" s="130" t="n"/>
      <c r="C1360" s="130" t="n"/>
      <c r="D1360" s="130" t="n"/>
      <c r="E1360" s="129" t="n"/>
      <c r="F1360" s="131" t="n"/>
    </row>
    <row r="1361" ht="14.25" customHeight="1" s="91">
      <c r="A1361" s="129" t="n"/>
      <c r="B1361" s="130" t="n"/>
      <c r="C1361" s="130" t="n"/>
      <c r="D1361" s="130" t="n"/>
      <c r="E1361" s="129" t="n"/>
      <c r="F1361" s="131" t="n"/>
    </row>
    <row r="1362" ht="14.25" customHeight="1" s="91">
      <c r="A1362" s="129" t="n"/>
      <c r="B1362" s="130" t="n"/>
      <c r="C1362" s="130" t="n"/>
      <c r="D1362" s="130" t="n"/>
      <c r="E1362" s="129" t="n"/>
      <c r="F1362" s="131" t="n"/>
    </row>
    <row r="1363" ht="14.25" customHeight="1" s="91">
      <c r="A1363" s="129" t="n"/>
      <c r="B1363" s="130" t="n"/>
      <c r="C1363" s="130" t="n"/>
      <c r="D1363" s="130" t="n"/>
      <c r="E1363" s="129" t="n"/>
      <c r="F1363" s="131" t="n"/>
    </row>
    <row r="1364" ht="14.25" customHeight="1" s="91">
      <c r="A1364" s="129" t="n"/>
      <c r="B1364" s="130" t="n"/>
      <c r="C1364" s="130" t="n"/>
      <c r="D1364" s="130" t="n"/>
      <c r="E1364" s="129" t="n"/>
      <c r="F1364" s="131" t="n"/>
    </row>
    <row r="1365" ht="14.25" customHeight="1" s="91">
      <c r="A1365" s="129" t="n"/>
      <c r="B1365" s="130" t="n"/>
      <c r="C1365" s="130" t="n"/>
      <c r="D1365" s="130" t="n"/>
      <c r="E1365" s="129" t="n"/>
      <c r="F1365" s="131" t="n"/>
    </row>
    <row r="1366" ht="14.25" customHeight="1" s="91">
      <c r="A1366" s="129" t="n"/>
      <c r="B1366" s="130" t="n"/>
      <c r="C1366" s="130" t="n"/>
      <c r="D1366" s="130" t="n"/>
      <c r="E1366" s="129" t="n"/>
      <c r="F1366" s="131" t="n"/>
    </row>
    <row r="1367" ht="14.25" customHeight="1" s="91">
      <c r="A1367" s="129" t="n"/>
      <c r="B1367" s="130" t="n"/>
      <c r="C1367" s="130" t="n"/>
      <c r="D1367" s="130" t="n"/>
      <c r="E1367" s="129" t="n"/>
      <c r="F1367" s="131" t="n"/>
    </row>
    <row r="1368" ht="14.25" customHeight="1" s="91">
      <c r="A1368" s="129" t="n"/>
      <c r="B1368" s="130" t="n"/>
      <c r="C1368" s="130" t="n"/>
      <c r="D1368" s="130" t="n"/>
      <c r="E1368" s="129" t="n"/>
      <c r="F1368" s="131" t="n"/>
    </row>
    <row r="1369" ht="14.25" customHeight="1" s="91">
      <c r="A1369" s="129" t="n"/>
      <c r="B1369" s="130" t="n"/>
      <c r="C1369" s="130" t="n"/>
      <c r="D1369" s="130" t="n"/>
      <c r="E1369" s="129" t="n"/>
      <c r="F1369" s="131" t="n"/>
    </row>
    <row r="1370" ht="14.25" customHeight="1" s="91">
      <c r="A1370" s="129" t="n"/>
      <c r="B1370" s="130" t="n"/>
      <c r="C1370" s="130" t="n"/>
      <c r="D1370" s="130" t="n"/>
      <c r="E1370" s="129" t="n"/>
      <c r="F1370" s="131" t="n"/>
    </row>
    <row r="1371" ht="14.25" customHeight="1" s="91">
      <c r="A1371" s="129" t="n"/>
      <c r="B1371" s="130" t="n"/>
      <c r="C1371" s="130" t="n"/>
      <c r="D1371" s="130" t="n"/>
      <c r="E1371" s="129" t="n"/>
      <c r="F1371" s="131" t="n"/>
    </row>
    <row r="1372" ht="14.25" customHeight="1" s="91">
      <c r="A1372" s="129" t="n"/>
      <c r="B1372" s="130" t="n"/>
      <c r="C1372" s="130" t="n"/>
      <c r="D1372" s="130" t="n"/>
      <c r="E1372" s="129" t="n"/>
      <c r="F1372" s="131" t="n"/>
    </row>
    <row r="1373" ht="14.25" customHeight="1" s="91">
      <c r="A1373" s="129" t="n"/>
      <c r="B1373" s="130" t="n"/>
      <c r="C1373" s="130" t="n"/>
      <c r="D1373" s="130" t="n"/>
      <c r="E1373" s="129" t="n"/>
      <c r="F1373" s="131" t="n"/>
    </row>
    <row r="1374" ht="14.25" customHeight="1" s="91">
      <c r="A1374" s="129" t="n"/>
      <c r="B1374" s="130" t="n"/>
      <c r="C1374" s="130" t="n"/>
      <c r="D1374" s="130" t="n"/>
      <c r="E1374" s="129" t="n"/>
      <c r="F1374" s="131" t="n"/>
    </row>
    <row r="1375" ht="14.25" customHeight="1" s="91">
      <c r="A1375" s="129" t="n"/>
      <c r="B1375" s="130" t="n"/>
      <c r="C1375" s="130" t="n"/>
      <c r="D1375" s="130" t="n"/>
      <c r="E1375" s="129" t="n"/>
      <c r="F1375" s="131" t="n"/>
    </row>
    <row r="1376" ht="14.25" customHeight="1" s="91">
      <c r="A1376" s="129" t="n"/>
      <c r="B1376" s="130" t="n"/>
      <c r="C1376" s="130" t="n"/>
      <c r="D1376" s="130" t="n"/>
      <c r="E1376" s="129" t="n"/>
      <c r="F1376" s="131" t="n"/>
    </row>
    <row r="1377" ht="14.25" customHeight="1" s="91">
      <c r="A1377" s="129" t="n"/>
      <c r="B1377" s="130" t="n"/>
      <c r="C1377" s="130" t="n"/>
      <c r="D1377" s="130" t="n"/>
      <c r="E1377" s="129" t="n"/>
      <c r="F1377" s="131" t="n"/>
    </row>
    <row r="1378" ht="14.25" customHeight="1" s="91">
      <c r="A1378" s="129" t="n"/>
      <c r="B1378" s="130" t="n"/>
      <c r="C1378" s="130" t="n"/>
      <c r="D1378" s="130" t="n"/>
      <c r="E1378" s="129" t="n"/>
      <c r="F1378" s="131" t="n"/>
    </row>
    <row r="1379" ht="14.25" customHeight="1" s="91">
      <c r="A1379" s="129" t="n"/>
      <c r="B1379" s="130" t="n"/>
      <c r="C1379" s="130" t="n"/>
      <c r="D1379" s="130" t="n"/>
      <c r="E1379" s="129" t="n"/>
      <c r="F1379" s="131" t="n"/>
    </row>
    <row r="1380" ht="14.25" customHeight="1" s="91">
      <c r="A1380" s="129" t="n"/>
      <c r="B1380" s="130" t="n"/>
      <c r="C1380" s="130" t="n"/>
      <c r="D1380" s="130" t="n"/>
      <c r="E1380" s="129" t="n"/>
      <c r="F1380" s="131" t="n"/>
    </row>
    <row r="1381" ht="14.25" customHeight="1" s="91">
      <c r="A1381" s="129" t="n"/>
      <c r="B1381" s="130" t="n"/>
      <c r="C1381" s="130" t="n"/>
      <c r="D1381" s="130" t="n"/>
      <c r="E1381" s="129" t="n"/>
      <c r="F1381" s="131" t="n"/>
    </row>
    <row r="1382" ht="14.25" customHeight="1" s="91">
      <c r="A1382" s="129" t="n"/>
      <c r="B1382" s="130" t="n"/>
      <c r="C1382" s="130" t="n"/>
      <c r="D1382" s="130" t="n"/>
      <c r="E1382" s="129" t="n"/>
      <c r="F1382" s="131" t="n"/>
    </row>
    <row r="1383" ht="14.25" customHeight="1" s="91">
      <c r="A1383" s="129" t="n"/>
      <c r="B1383" s="130" t="n"/>
      <c r="C1383" s="130" t="n"/>
      <c r="D1383" s="130" t="n"/>
      <c r="E1383" s="129" t="n"/>
      <c r="F1383" s="131" t="n"/>
    </row>
    <row r="1384" ht="14.25" customHeight="1" s="91">
      <c r="A1384" s="129" t="n"/>
      <c r="B1384" s="130" t="n"/>
      <c r="C1384" s="130" t="n"/>
      <c r="D1384" s="130" t="n"/>
      <c r="E1384" s="129" t="n"/>
      <c r="F1384" s="131" t="n"/>
    </row>
    <row r="1385" ht="14.25" customHeight="1" s="91">
      <c r="A1385" s="129" t="n"/>
      <c r="B1385" s="130" t="n"/>
      <c r="C1385" s="130" t="n"/>
      <c r="D1385" s="130" t="n"/>
      <c r="E1385" s="129" t="n"/>
      <c r="F1385" s="131" t="n"/>
    </row>
    <row r="1386" ht="14.25" customHeight="1" s="91">
      <c r="A1386" s="129" t="n"/>
      <c r="B1386" s="130" t="n"/>
      <c r="C1386" s="130" t="n"/>
      <c r="D1386" s="130" t="n"/>
      <c r="E1386" s="129" t="n"/>
      <c r="F1386" s="131" t="n"/>
    </row>
    <row r="1387" ht="14.25" customHeight="1" s="91">
      <c r="A1387" s="129" t="n"/>
      <c r="B1387" s="130" t="n"/>
      <c r="C1387" s="130" t="n"/>
      <c r="D1387" s="130" t="n"/>
      <c r="E1387" s="129" t="n"/>
      <c r="F1387" s="131" t="n"/>
    </row>
    <row r="1388" ht="14.25" customHeight="1" s="91">
      <c r="A1388" s="129" t="n"/>
      <c r="B1388" s="130" t="n"/>
      <c r="C1388" s="130" t="n"/>
      <c r="D1388" s="130" t="n"/>
      <c r="E1388" s="129" t="n"/>
      <c r="F1388" s="131" t="n"/>
    </row>
    <row r="1389" ht="14.25" customHeight="1" s="91">
      <c r="A1389" s="129" t="n"/>
      <c r="B1389" s="130" t="n"/>
      <c r="C1389" s="130" t="n"/>
      <c r="D1389" s="130" t="n"/>
      <c r="E1389" s="129" t="n"/>
      <c r="F1389" s="131" t="n"/>
    </row>
    <row r="1390" ht="14.25" customHeight="1" s="91">
      <c r="A1390" s="129" t="n"/>
      <c r="B1390" s="130" t="n"/>
      <c r="C1390" s="130" t="n"/>
      <c r="D1390" s="130" t="n"/>
      <c r="E1390" s="129" t="n"/>
      <c r="F1390" s="131" t="n"/>
    </row>
    <row r="1391" ht="14.25" customHeight="1" s="91">
      <c r="A1391" s="129" t="n"/>
      <c r="B1391" s="130" t="n"/>
      <c r="C1391" s="130" t="n"/>
      <c r="D1391" s="130" t="n"/>
      <c r="E1391" s="129" t="n"/>
      <c r="F1391" s="131" t="n"/>
    </row>
    <row r="1392" ht="14.25" customHeight="1" s="91">
      <c r="A1392" s="129" t="n"/>
      <c r="B1392" s="130" t="n"/>
      <c r="C1392" s="130" t="n"/>
      <c r="D1392" s="130" t="n"/>
      <c r="E1392" s="129" t="n"/>
      <c r="F1392" s="131" t="n"/>
    </row>
    <row r="1393" ht="14.25" customHeight="1" s="91">
      <c r="A1393" s="129" t="n"/>
      <c r="B1393" s="130" t="n"/>
      <c r="C1393" s="130" t="n"/>
      <c r="D1393" s="130" t="n"/>
      <c r="E1393" s="129" t="n"/>
      <c r="F1393" s="131" t="n"/>
    </row>
    <row r="1394" ht="14.25" customHeight="1" s="91">
      <c r="A1394" s="129" t="n"/>
      <c r="B1394" s="130" t="n"/>
      <c r="C1394" s="130" t="n"/>
      <c r="D1394" s="130" t="n"/>
      <c r="E1394" s="129" t="n"/>
      <c r="F1394" s="131" t="n"/>
    </row>
    <row r="1395" ht="14.25" customHeight="1" s="91">
      <c r="A1395" s="129" t="n"/>
      <c r="B1395" s="130" t="n"/>
      <c r="C1395" s="130" t="n"/>
      <c r="D1395" s="130" t="n"/>
      <c r="E1395" s="129" t="n"/>
      <c r="F1395" s="131" t="n"/>
    </row>
    <row r="1396" ht="14.25" customHeight="1" s="91">
      <c r="A1396" s="129" t="n"/>
      <c r="B1396" s="130" t="n"/>
      <c r="C1396" s="130" t="n"/>
      <c r="D1396" s="130" t="n"/>
      <c r="E1396" s="129" t="n"/>
      <c r="F1396" s="131" t="n"/>
    </row>
    <row r="1397" ht="14.25" customHeight="1" s="91">
      <c r="A1397" s="129" t="n"/>
      <c r="B1397" s="130" t="n"/>
      <c r="C1397" s="130" t="n"/>
      <c r="D1397" s="130" t="n"/>
      <c r="E1397" s="129" t="n"/>
      <c r="F1397" s="131" t="n"/>
    </row>
    <row r="1398" ht="14.25" customHeight="1" s="91">
      <c r="A1398" s="129" t="n"/>
      <c r="B1398" s="130" t="n"/>
      <c r="C1398" s="130" t="n"/>
      <c r="D1398" s="130" t="n"/>
      <c r="E1398" s="129" t="n"/>
      <c r="F1398" s="131" t="n"/>
    </row>
    <row r="1399" ht="14.25" customHeight="1" s="91">
      <c r="A1399" s="129" t="n"/>
      <c r="B1399" s="130" t="n"/>
      <c r="C1399" s="130" t="n"/>
      <c r="D1399" s="130" t="n"/>
      <c r="E1399" s="129" t="n"/>
      <c r="F1399" s="131" t="n"/>
    </row>
    <row r="1400" ht="14.25" customHeight="1" s="91">
      <c r="A1400" s="129" t="n"/>
      <c r="B1400" s="130" t="n"/>
      <c r="C1400" s="130" t="n"/>
      <c r="D1400" s="130" t="n"/>
      <c r="E1400" s="129" t="n"/>
      <c r="F1400" s="131" t="n"/>
    </row>
    <row r="1401" ht="14.25" customHeight="1" s="91">
      <c r="A1401" s="129" t="n"/>
      <c r="B1401" s="130" t="n"/>
      <c r="C1401" s="130" t="n"/>
      <c r="D1401" s="130" t="n"/>
      <c r="E1401" s="129" t="n"/>
      <c r="F1401" s="131" t="n"/>
    </row>
    <row r="1402" ht="14.25" customHeight="1" s="91">
      <c r="A1402" s="129" t="n"/>
      <c r="B1402" s="130" t="n"/>
      <c r="C1402" s="130" t="n"/>
      <c r="D1402" s="130" t="n"/>
      <c r="E1402" s="129" t="n"/>
      <c r="F1402" s="131" t="n"/>
    </row>
    <row r="1403" ht="14.25" customHeight="1" s="91">
      <c r="A1403" s="129" t="n"/>
      <c r="B1403" s="130" t="n"/>
      <c r="C1403" s="130" t="n"/>
      <c r="D1403" s="130" t="n"/>
      <c r="E1403" s="129" t="n"/>
      <c r="F1403" s="131" t="n"/>
    </row>
    <row r="1404" ht="14.25" customHeight="1" s="91">
      <c r="A1404" s="129" t="n"/>
      <c r="B1404" s="130" t="n"/>
      <c r="C1404" s="130" t="n"/>
      <c r="D1404" s="130" t="n"/>
      <c r="E1404" s="129" t="n"/>
      <c r="F1404" s="131" t="n"/>
    </row>
    <row r="1405" ht="14.25" customHeight="1" s="91">
      <c r="A1405" s="129" t="n"/>
      <c r="B1405" s="130" t="n"/>
      <c r="C1405" s="130" t="n"/>
      <c r="D1405" s="130" t="n"/>
      <c r="E1405" s="129" t="n"/>
      <c r="F1405" s="131" t="n"/>
    </row>
    <row r="1406" ht="14.25" customHeight="1" s="91">
      <c r="A1406" s="129" t="n"/>
      <c r="B1406" s="130" t="n"/>
      <c r="C1406" s="130" t="n"/>
      <c r="D1406" s="130" t="n"/>
      <c r="E1406" s="129" t="n"/>
      <c r="F1406" s="131" t="n"/>
    </row>
    <row r="1407" ht="14.25" customHeight="1" s="91">
      <c r="A1407" s="129" t="n"/>
      <c r="B1407" s="130" t="n"/>
      <c r="C1407" s="130" t="n"/>
      <c r="D1407" s="130" t="n"/>
      <c r="E1407" s="129" t="n"/>
      <c r="F1407" s="131" t="n"/>
    </row>
    <row r="1408" ht="14.25" customHeight="1" s="91">
      <c r="A1408" s="129" t="n"/>
      <c r="B1408" s="130" t="n"/>
      <c r="C1408" s="130" t="n"/>
      <c r="D1408" s="130" t="n"/>
      <c r="E1408" s="129" t="n"/>
      <c r="F1408" s="131" t="n"/>
    </row>
    <row r="1409" ht="14.25" customHeight="1" s="91">
      <c r="A1409" s="129" t="n"/>
      <c r="B1409" s="130" t="n"/>
      <c r="C1409" s="130" t="n"/>
      <c r="D1409" s="130" t="n"/>
      <c r="E1409" s="129" t="n"/>
      <c r="F1409" s="131" t="n"/>
    </row>
    <row r="1410" ht="14.25" customHeight="1" s="91">
      <c r="A1410" s="129" t="n"/>
      <c r="B1410" s="130" t="n"/>
      <c r="C1410" s="130" t="n"/>
      <c r="D1410" s="130" t="n"/>
      <c r="E1410" s="129" t="n"/>
      <c r="F1410" s="131" t="n"/>
    </row>
    <row r="1411" ht="14.25" customHeight="1" s="91">
      <c r="A1411" s="129" t="n"/>
      <c r="B1411" s="130" t="n"/>
      <c r="C1411" s="130" t="n"/>
      <c r="D1411" s="130" t="n"/>
      <c r="E1411" s="129" t="n"/>
      <c r="F1411" s="131" t="n"/>
    </row>
    <row r="1412" ht="14.25" customHeight="1" s="91">
      <c r="A1412" s="129" t="n"/>
      <c r="B1412" s="130" t="n"/>
      <c r="C1412" s="130" t="n"/>
      <c r="D1412" s="130" t="n"/>
      <c r="E1412" s="129" t="n"/>
      <c r="F1412" s="131" t="n"/>
    </row>
    <row r="1413" ht="14.25" customHeight="1" s="91">
      <c r="A1413" s="129" t="n"/>
      <c r="B1413" s="130" t="n"/>
      <c r="C1413" s="130" t="n"/>
      <c r="D1413" s="130" t="n"/>
      <c r="E1413" s="129" t="n"/>
      <c r="F1413" s="131" t="n"/>
    </row>
    <row r="1414" ht="14.25" customHeight="1" s="91">
      <c r="A1414" s="129" t="n"/>
      <c r="B1414" s="130" t="n"/>
      <c r="C1414" s="130" t="n"/>
      <c r="D1414" s="130" t="n"/>
      <c r="E1414" s="129" t="n"/>
      <c r="F1414" s="131" t="n"/>
    </row>
    <row r="1415" ht="14.25" customHeight="1" s="91">
      <c r="A1415" s="129" t="n"/>
      <c r="B1415" s="130" t="n"/>
      <c r="C1415" s="130" t="n"/>
      <c r="D1415" s="130" t="n"/>
      <c r="E1415" s="129" t="n"/>
      <c r="F1415" s="131" t="n"/>
    </row>
    <row r="1416" ht="14.25" customHeight="1" s="91">
      <c r="A1416" s="133" t="n"/>
      <c r="B1416" s="134" t="n"/>
      <c r="C1416" s="134" t="n"/>
      <c r="D1416" s="134" t="n"/>
      <c r="E1416" s="133" t="n"/>
      <c r="F1416" s="135" t="n"/>
    </row>
    <row r="1417" ht="14.25" customHeight="1" s="91">
      <c r="A1417" s="129" t="n"/>
      <c r="B1417" s="130" t="n"/>
      <c r="C1417" s="130" t="n"/>
      <c r="D1417" s="130" t="n"/>
      <c r="E1417" s="129" t="n"/>
      <c r="F1417" s="131" t="n"/>
    </row>
    <row r="1418" ht="14.25" customHeight="1" s="91">
      <c r="A1418" s="129" t="n"/>
      <c r="B1418" s="130" t="n"/>
      <c r="C1418" s="130" t="n"/>
      <c r="D1418" s="130" t="n"/>
      <c r="E1418" s="129" t="n"/>
      <c r="F1418" s="131" t="n"/>
    </row>
    <row r="1419" ht="14.25" customHeight="1" s="91">
      <c r="A1419" s="129" t="n"/>
      <c r="B1419" s="130" t="n"/>
      <c r="C1419" s="130" t="n"/>
      <c r="D1419" s="130" t="n"/>
      <c r="E1419" s="129" t="n"/>
      <c r="F1419" s="131" t="n"/>
    </row>
    <row r="1420" ht="14.25" customHeight="1" s="91">
      <c r="A1420" s="129" t="n"/>
      <c r="B1420" s="130" t="n"/>
      <c r="C1420" s="130" t="n"/>
      <c r="D1420" s="130" t="n"/>
      <c r="E1420" s="129" t="n"/>
      <c r="F1420" s="131" t="n"/>
    </row>
    <row r="1421" ht="14.25" customHeight="1" s="91">
      <c r="A1421" s="129" t="n"/>
      <c r="B1421" s="130" t="n"/>
      <c r="C1421" s="130" t="n"/>
      <c r="D1421" s="130" t="n"/>
      <c r="E1421" s="129" t="n"/>
      <c r="F1421" s="131" t="n"/>
    </row>
    <row r="1422" ht="14.25" customHeight="1" s="91">
      <c r="A1422" s="129" t="n"/>
      <c r="B1422" s="130" t="n"/>
      <c r="C1422" s="130" t="n"/>
      <c r="D1422" s="130" t="n"/>
      <c r="E1422" s="129" t="n"/>
      <c r="F1422" s="131" t="n"/>
    </row>
    <row r="1423" ht="14.25" customHeight="1" s="91">
      <c r="A1423" s="129" t="n"/>
      <c r="B1423" s="130" t="n"/>
      <c r="C1423" s="130" t="n"/>
      <c r="D1423" s="130" t="n"/>
      <c r="E1423" s="129" t="n"/>
      <c r="F1423" s="131" t="n"/>
    </row>
    <row r="1424" ht="14.25" customHeight="1" s="91">
      <c r="A1424" s="129" t="n"/>
      <c r="B1424" s="130" t="n"/>
      <c r="C1424" s="130" t="n"/>
      <c r="D1424" s="130" t="n"/>
      <c r="E1424" s="129" t="n"/>
      <c r="F1424" s="131" t="n"/>
    </row>
    <row r="1425" ht="14.25" customHeight="1" s="91">
      <c r="A1425" s="129" t="n"/>
      <c r="B1425" s="130" t="n"/>
      <c r="C1425" s="130" t="n"/>
      <c r="D1425" s="130" t="n"/>
      <c r="E1425" s="129" t="n"/>
      <c r="F1425" s="131" t="n"/>
    </row>
    <row r="1426" ht="14.25" customHeight="1" s="91">
      <c r="A1426" s="129" t="n"/>
      <c r="B1426" s="130" t="n"/>
      <c r="C1426" s="130" t="n"/>
      <c r="D1426" s="130" t="n"/>
      <c r="E1426" s="129" t="n"/>
      <c r="F1426" s="131" t="n"/>
    </row>
    <row r="1427" ht="14.25" customHeight="1" s="91">
      <c r="A1427" s="129" t="n"/>
      <c r="B1427" s="130" t="n"/>
      <c r="C1427" s="130" t="n"/>
      <c r="D1427" s="130" t="n"/>
      <c r="E1427" s="129" t="n"/>
      <c r="F1427" s="131" t="n"/>
    </row>
    <row r="1428" ht="14.25" customHeight="1" s="91">
      <c r="A1428" s="129" t="n"/>
      <c r="B1428" s="130" t="n"/>
      <c r="C1428" s="130" t="n"/>
      <c r="D1428" s="130" t="n"/>
      <c r="E1428" s="129" t="n"/>
      <c r="F1428" s="131" t="n"/>
    </row>
    <row r="1429" ht="14.25" customHeight="1" s="91">
      <c r="A1429" s="129" t="n"/>
      <c r="B1429" s="130" t="n"/>
      <c r="C1429" s="130" t="n"/>
      <c r="D1429" s="130" t="n"/>
      <c r="E1429" s="129" t="n"/>
      <c r="F1429" s="131" t="n"/>
    </row>
    <row r="1430" ht="14.25" customHeight="1" s="91">
      <c r="A1430" s="129" t="n"/>
      <c r="B1430" s="130" t="n"/>
      <c r="C1430" s="130" t="n"/>
      <c r="D1430" s="130" t="n"/>
      <c r="E1430" s="129" t="n"/>
      <c r="F1430" s="131" t="n"/>
    </row>
    <row r="1431" ht="14.25" customHeight="1" s="91">
      <c r="A1431" s="129" t="n"/>
      <c r="B1431" s="130" t="n"/>
      <c r="C1431" s="130" t="n"/>
      <c r="D1431" s="130" t="n"/>
      <c r="E1431" s="129" t="n"/>
      <c r="F1431" s="131" t="n"/>
    </row>
    <row r="1432" ht="14.25" customHeight="1" s="91">
      <c r="A1432" s="129" t="n"/>
      <c r="B1432" s="130" t="n"/>
      <c r="C1432" s="130" t="n"/>
      <c r="D1432" s="130" t="n"/>
      <c r="E1432" s="129" t="n"/>
      <c r="F1432" s="131" t="n"/>
    </row>
    <row r="1433" ht="14.25" customHeight="1" s="91">
      <c r="A1433" s="129" t="n"/>
      <c r="B1433" s="130" t="n"/>
      <c r="C1433" s="130" t="n"/>
      <c r="D1433" s="130" t="n"/>
      <c r="E1433" s="129" t="n"/>
      <c r="F1433" s="131" t="n"/>
    </row>
    <row r="1434" ht="14.25" customHeight="1" s="91">
      <c r="A1434" s="129" t="n"/>
      <c r="B1434" s="130" t="n"/>
      <c r="C1434" s="130" t="n"/>
      <c r="D1434" s="130" t="n"/>
      <c r="E1434" s="129" t="n"/>
      <c r="F1434" s="131" t="n"/>
    </row>
    <row r="1435" ht="14.25" customHeight="1" s="91">
      <c r="A1435" s="129" t="n"/>
      <c r="B1435" s="130" t="n"/>
      <c r="C1435" s="130" t="n"/>
      <c r="D1435" s="130" t="n"/>
      <c r="E1435" s="129" t="n"/>
      <c r="F1435" s="131" t="n"/>
    </row>
    <row r="1436" ht="14.25" customHeight="1" s="91">
      <c r="A1436" s="129" t="n"/>
      <c r="B1436" s="130" t="n"/>
      <c r="C1436" s="130" t="n"/>
      <c r="D1436" s="130" t="n"/>
      <c r="E1436" s="129" t="n"/>
      <c r="F1436" s="131" t="n"/>
    </row>
    <row r="1437" ht="14.25" customHeight="1" s="91">
      <c r="A1437" s="136" t="n"/>
      <c r="B1437" s="136" t="n"/>
      <c r="C1437" s="136" t="n"/>
      <c r="D1437" s="136" t="n"/>
      <c r="E1437" s="136" t="n"/>
      <c r="F1437" s="136" t="n"/>
    </row>
  </sheetData>
  <autoFilter ref="A3:F133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7" customWidth="1" style="90" min="1" max="1"/>
    <col width="48" customWidth="1" style="90" min="2" max="2"/>
    <col width="14" customWidth="1" style="90" min="3" max="3"/>
    <col width="12" customWidth="1" style="90" min="4" max="4"/>
    <col width="13" customWidth="1" style="90" min="5" max="5"/>
    <col width="17" customWidth="1" style="90" min="6" max="6"/>
  </cols>
  <sheetData>
    <row r="1" ht="19.5" customHeight="1" s="91">
      <c r="A1" s="137" t="inlineStr">
        <is>
          <t>Subject Area Analysis</t>
        </is>
      </c>
    </row>
    <row r="2" ht="15" customHeight="1" s="91">
      <c r="A2" s="138" t="inlineStr">
        <is>
          <t>Summary of research sub-areas across Top 50 U.S. Business Schools</t>
        </is>
      </c>
    </row>
    <row r="4" ht="15" customHeight="1" s="91">
      <c r="A4" s="139" t="inlineStr">
        <is>
          <t>Total Sub-Areas</t>
        </is>
      </c>
      <c r="B4" s="140" t="n">
        <v>94</v>
      </c>
      <c r="C4" s="139" t="inlineStr">
        <is>
          <t>Total Departments</t>
        </is>
      </c>
      <c r="D4" s="140" t="n">
        <v>138</v>
      </c>
      <c r="E4" s="139" t="inlineStr">
        <is>
          <t>Total Faculty Entries</t>
        </is>
      </c>
      <c r="F4" s="140" t="n">
        <v>3524</v>
      </c>
    </row>
    <row r="6" ht="15" customHeight="1" s="91">
      <c r="A6" s="141" t="inlineStr">
        <is>
          <t>Sub-Areas Ranked by Total Faculty</t>
        </is>
      </c>
    </row>
    <row r="7" ht="15" customHeight="1" s="91">
      <c r="A7" s="142" t="inlineStr">
        <is>
          <t>Rank</t>
        </is>
      </c>
      <c r="B7" s="142" t="inlineStr">
        <is>
          <t>Sub-Area</t>
        </is>
      </c>
      <c r="C7" s="142" t="inlineStr">
        <is>
          <t>Total Faculty</t>
        </is>
      </c>
      <c r="D7" s="142" t="inlineStr">
        <is>
          <t># Schools</t>
        </is>
      </c>
      <c r="E7" s="142" t="inlineStr">
        <is>
          <t># Depts</t>
        </is>
      </c>
      <c r="F7" s="142" t="inlineStr">
        <is>
          <t>Avg Faculty/School</t>
        </is>
      </c>
    </row>
    <row r="8" ht="15" customHeight="1" s="91">
      <c r="A8" s="143" t="n">
        <v>1</v>
      </c>
      <c r="B8" s="140" t="inlineStr">
        <is>
          <t>Corporate Finance</t>
        </is>
      </c>
      <c r="C8" s="143" t="n">
        <v>177</v>
      </c>
      <c r="D8" s="143" t="n">
        <v>49</v>
      </c>
      <c r="E8" s="143" t="n">
        <v>5</v>
      </c>
      <c r="F8" s="143" t="n">
        <v>3.6</v>
      </c>
    </row>
    <row r="9" ht="15" customHeight="1" s="91">
      <c r="A9" s="144" t="n">
        <v>2</v>
      </c>
      <c r="B9" s="145" t="inlineStr">
        <is>
          <t>Asset Pricing</t>
        </is>
      </c>
      <c r="C9" s="144" t="n">
        <v>160</v>
      </c>
      <c r="D9" s="144" t="n">
        <v>49</v>
      </c>
      <c r="E9" s="144" t="n">
        <v>5</v>
      </c>
      <c r="F9" s="144" t="n">
        <v>3.3</v>
      </c>
    </row>
    <row r="10" ht="15" customHeight="1" s="91">
      <c r="A10" s="143" t="n">
        <v>3</v>
      </c>
      <c r="B10" s="140" t="inlineStr">
        <is>
          <t>Consumer Behavior</t>
        </is>
      </c>
      <c r="C10" s="143" t="n">
        <v>147</v>
      </c>
      <c r="D10" s="143" t="n">
        <v>49</v>
      </c>
      <c r="E10" s="143" t="n">
        <v>5</v>
      </c>
      <c r="F10" s="143" t="n">
        <v>3</v>
      </c>
    </row>
    <row r="11" ht="15" customHeight="1" s="91">
      <c r="A11" s="144" t="n">
        <v>4</v>
      </c>
      <c r="B11" s="145" t="inlineStr">
        <is>
          <t>Financial Accounting</t>
        </is>
      </c>
      <c r="C11" s="144" t="n">
        <v>137</v>
      </c>
      <c r="D11" s="144" t="n">
        <v>49</v>
      </c>
      <c r="E11" s="144" t="n">
        <v>9</v>
      </c>
      <c r="F11" s="144" t="n">
        <v>2.8</v>
      </c>
    </row>
    <row r="12" ht="15" customHeight="1" s="91">
      <c r="A12" s="143" t="n">
        <v>5</v>
      </c>
      <c r="B12" s="140" t="inlineStr">
        <is>
          <t>Banking &amp; Financial Institutions</t>
        </is>
      </c>
      <c r="C12" s="143" t="n">
        <v>137</v>
      </c>
      <c r="D12" s="143" t="n">
        <v>47</v>
      </c>
      <c r="E12" s="143" t="n">
        <v>5</v>
      </c>
      <c r="F12" s="143" t="n">
        <v>2.9</v>
      </c>
    </row>
    <row r="13" ht="15" customHeight="1" s="91">
      <c r="A13" s="144" t="n">
        <v>6</v>
      </c>
      <c r="B13" s="145" t="inlineStr">
        <is>
          <t>International Finance</t>
        </is>
      </c>
      <c r="C13" s="144" t="n">
        <v>130</v>
      </c>
      <c r="D13" s="144" t="n">
        <v>48</v>
      </c>
      <c r="E13" s="144" t="n">
        <v>5</v>
      </c>
      <c r="F13" s="144" t="n">
        <v>2.7</v>
      </c>
    </row>
    <row r="14" ht="15" customHeight="1" s="91">
      <c r="A14" s="143" t="n">
        <v>7</v>
      </c>
      <c r="B14" s="140" t="inlineStr">
        <is>
          <t>Marketing Analytics</t>
        </is>
      </c>
      <c r="C14" s="143" t="n">
        <v>121</v>
      </c>
      <c r="D14" s="143" t="n">
        <v>47</v>
      </c>
      <c r="E14" s="143" t="n">
        <v>5</v>
      </c>
      <c r="F14" s="143" t="n">
        <v>2.6</v>
      </c>
    </row>
    <row r="15" ht="15" customHeight="1" s="91">
      <c r="A15" s="144" t="n">
        <v>8</v>
      </c>
      <c r="B15" s="145" t="inlineStr">
        <is>
          <t>Managerial Accounting</t>
        </is>
      </c>
      <c r="C15" s="144" t="n">
        <v>118</v>
      </c>
      <c r="D15" s="144" t="n">
        <v>49</v>
      </c>
      <c r="E15" s="144" t="n">
        <v>9</v>
      </c>
      <c r="F15" s="144" t="n">
        <v>2.4</v>
      </c>
    </row>
    <row r="16" ht="15" customHeight="1" s="91">
      <c r="A16" s="143" t="n">
        <v>9</v>
      </c>
      <c r="B16" s="140" t="inlineStr">
        <is>
          <t>Digital Marketing</t>
        </is>
      </c>
      <c r="C16" s="143" t="n">
        <v>118</v>
      </c>
      <c r="D16" s="143" t="n">
        <v>48</v>
      </c>
      <c r="E16" s="143" t="n">
        <v>5</v>
      </c>
      <c r="F16" s="143" t="n">
        <v>2.5</v>
      </c>
    </row>
    <row r="17" ht="15" customHeight="1" s="91">
      <c r="A17" s="144" t="n">
        <v>10</v>
      </c>
      <c r="B17" s="145" t="inlineStr">
        <is>
          <t>Supply Chain Management</t>
        </is>
      </c>
      <c r="C17" s="144" t="n">
        <v>116</v>
      </c>
      <c r="D17" s="144" t="n">
        <v>41</v>
      </c>
      <c r="E17" s="144" t="n">
        <v>31</v>
      </c>
      <c r="F17" s="144" t="n">
        <v>2.8</v>
      </c>
    </row>
    <row r="18" ht="15" customHeight="1" s="91">
      <c r="A18" s="143" t="n">
        <v>11</v>
      </c>
      <c r="B18" s="140" t="inlineStr">
        <is>
          <t>Strategic Management</t>
        </is>
      </c>
      <c r="C18" s="143" t="n">
        <v>111</v>
      </c>
      <c r="D18" s="143" t="n">
        <v>36</v>
      </c>
      <c r="E18" s="143" t="n">
        <v>23</v>
      </c>
      <c r="F18" s="143" t="n">
        <v>3.1</v>
      </c>
    </row>
    <row r="19" ht="15" customHeight="1" s="91">
      <c r="A19" s="144" t="n">
        <v>12</v>
      </c>
      <c r="B19" s="145" t="inlineStr">
        <is>
          <t>Auditing &amp; Assurance</t>
        </is>
      </c>
      <c r="C19" s="144" t="n">
        <v>107</v>
      </c>
      <c r="D19" s="144" t="n">
        <v>49</v>
      </c>
      <c r="E19" s="144" t="n">
        <v>9</v>
      </c>
      <c r="F19" s="144" t="n">
        <v>2.2</v>
      </c>
    </row>
    <row r="20" ht="15" customHeight="1" s="91">
      <c r="A20" s="143" t="n">
        <v>13</v>
      </c>
      <c r="B20" s="140" t="inlineStr">
        <is>
          <t>Brand Management</t>
        </is>
      </c>
      <c r="C20" s="143" t="n">
        <v>101</v>
      </c>
      <c r="D20" s="143" t="n">
        <v>48</v>
      </c>
      <c r="E20" s="143" t="n">
        <v>5</v>
      </c>
      <c r="F20" s="143" t="n">
        <v>2.1</v>
      </c>
    </row>
    <row r="21" ht="15" customHeight="1" s="91">
      <c r="A21" s="144" t="n">
        <v>14</v>
      </c>
      <c r="B21" s="145" t="inlineStr">
        <is>
          <t>Operations Research</t>
        </is>
      </c>
      <c r="C21" s="144" t="n">
        <v>93</v>
      </c>
      <c r="D21" s="144" t="n">
        <v>39</v>
      </c>
      <c r="E21" s="144" t="n">
        <v>30</v>
      </c>
      <c r="F21" s="144" t="n">
        <v>2.4</v>
      </c>
    </row>
    <row r="22" ht="15" customHeight="1" s="91">
      <c r="A22" s="143" t="n">
        <v>15</v>
      </c>
      <c r="B22" s="140" t="inlineStr">
        <is>
          <t>Organizational Behavior</t>
        </is>
      </c>
      <c r="C22" s="143" t="n">
        <v>89</v>
      </c>
      <c r="D22" s="143" t="n">
        <v>27</v>
      </c>
      <c r="E22" s="143" t="n">
        <v>14</v>
      </c>
      <c r="F22" s="143" t="n">
        <v>3.3</v>
      </c>
    </row>
    <row r="23" ht="15" customHeight="1" s="91">
      <c r="A23" s="144" t="n">
        <v>16</v>
      </c>
      <c r="B23" s="145" t="inlineStr">
        <is>
          <t>Tax</t>
        </is>
      </c>
      <c r="C23" s="144" t="n">
        <v>88</v>
      </c>
      <c r="D23" s="144" t="n">
        <v>48</v>
      </c>
      <c r="E23" s="144" t="n">
        <v>9</v>
      </c>
      <c r="F23" s="144" t="n">
        <v>1.8</v>
      </c>
    </row>
    <row r="24" ht="15" customHeight="1" s="91">
      <c r="A24" s="143" t="n">
        <v>17</v>
      </c>
      <c r="B24" s="140" t="inlineStr">
        <is>
          <t>Process Optimization</t>
        </is>
      </c>
      <c r="C24" s="143" t="n">
        <v>84</v>
      </c>
      <c r="D24" s="143" t="n">
        <v>39</v>
      </c>
      <c r="E24" s="143" t="n">
        <v>30</v>
      </c>
      <c r="F24" s="143" t="n">
        <v>2.2</v>
      </c>
    </row>
    <row r="25" ht="15" customHeight="1" s="91">
      <c r="A25" s="144" t="n">
        <v>18</v>
      </c>
      <c r="B25" s="145" t="inlineStr">
        <is>
          <t>Microeconomics</t>
        </is>
      </c>
      <c r="C25" s="144" t="n">
        <v>82</v>
      </c>
      <c r="D25" s="144" t="n">
        <v>24</v>
      </c>
      <c r="E25" s="144" t="n">
        <v>16</v>
      </c>
      <c r="F25" s="144" t="n">
        <v>3.4</v>
      </c>
    </row>
    <row r="26" ht="15" customHeight="1" s="91">
      <c r="A26" s="143" t="n">
        <v>19</v>
      </c>
      <c r="B26" s="140" t="inlineStr">
        <is>
          <t>Analytics</t>
        </is>
      </c>
      <c r="C26" s="143" t="n">
        <v>75</v>
      </c>
      <c r="D26" s="143" t="n">
        <v>39</v>
      </c>
      <c r="E26" s="143" t="n">
        <v>30</v>
      </c>
      <c r="F26" s="143" t="n">
        <v>1.9</v>
      </c>
    </row>
    <row r="27" ht="15" customHeight="1" s="91">
      <c r="A27" s="144" t="n">
        <v>20</v>
      </c>
      <c r="B27" s="145" t="inlineStr">
        <is>
          <t>Human Resources</t>
        </is>
      </c>
      <c r="C27" s="144" t="n">
        <v>73</v>
      </c>
      <c r="D27" s="144" t="n">
        <v>26</v>
      </c>
      <c r="E27" s="144" t="n">
        <v>13</v>
      </c>
      <c r="F27" s="144" t="n">
        <v>2.8</v>
      </c>
    </row>
    <row r="28" ht="15" customHeight="1" s="91">
      <c r="A28" s="143" t="n">
        <v>21</v>
      </c>
      <c r="B28" s="140" t="inlineStr">
        <is>
          <t>Leadership &amp; Teams</t>
        </is>
      </c>
      <c r="C28" s="143" t="n">
        <v>71</v>
      </c>
      <c r="D28" s="143" t="n">
        <v>27</v>
      </c>
      <c r="E28" s="143" t="n">
        <v>13</v>
      </c>
      <c r="F28" s="143" t="n">
        <v>2.6</v>
      </c>
    </row>
    <row r="29" ht="15" customHeight="1" s="91">
      <c r="A29" s="144" t="n">
        <v>22</v>
      </c>
      <c r="B29" s="145" t="inlineStr">
        <is>
          <t>Macroeconomics</t>
        </is>
      </c>
      <c r="C29" s="144" t="n">
        <v>71</v>
      </c>
      <c r="D29" s="144" t="n">
        <v>24</v>
      </c>
      <c r="E29" s="144" t="n">
        <v>16</v>
      </c>
      <c r="F29" s="144" t="n">
        <v>3</v>
      </c>
    </row>
    <row r="30" ht="15" customHeight="1" s="91">
      <c r="A30" s="143" t="n">
        <v>23</v>
      </c>
      <c r="B30" s="140" t="inlineStr">
        <is>
          <t>Diversity &amp; Inclusion</t>
        </is>
      </c>
      <c r="C30" s="143" t="n">
        <v>66</v>
      </c>
      <c r="D30" s="143" t="n">
        <v>27</v>
      </c>
      <c r="E30" s="143" t="n">
        <v>13</v>
      </c>
      <c r="F30" s="143" t="n">
        <v>2.4</v>
      </c>
    </row>
    <row r="31" ht="15" customHeight="1" s="91">
      <c r="A31" s="144" t="n">
        <v>24</v>
      </c>
      <c r="B31" s="145" t="inlineStr">
        <is>
          <t>Industrial Organization</t>
        </is>
      </c>
      <c r="C31" s="144" t="n">
        <v>65</v>
      </c>
      <c r="D31" s="144" t="n">
        <v>25</v>
      </c>
      <c r="E31" s="144" t="n">
        <v>16</v>
      </c>
      <c r="F31" s="144" t="n">
        <v>2.6</v>
      </c>
    </row>
    <row r="32" ht="15" customHeight="1" s="91">
      <c r="A32" s="143" t="n">
        <v>25</v>
      </c>
      <c r="B32" s="140" t="inlineStr">
        <is>
          <t>Applied Economics</t>
        </is>
      </c>
      <c r="C32" s="143" t="n">
        <v>64</v>
      </c>
      <c r="D32" s="143" t="n">
        <v>24</v>
      </c>
      <c r="E32" s="143" t="n">
        <v>16</v>
      </c>
      <c r="F32" s="143" t="n">
        <v>2.7</v>
      </c>
    </row>
    <row r="33" ht="15" customHeight="1" s="91">
      <c r="A33" s="144" t="n">
        <v>26</v>
      </c>
      <c r="B33" s="145" t="inlineStr">
        <is>
          <t>Theory</t>
        </is>
      </c>
      <c r="C33" s="144" t="n">
        <v>62</v>
      </c>
      <c r="D33" s="144" t="n">
        <v>17</v>
      </c>
      <c r="E33" s="144" t="n">
        <v>20</v>
      </c>
      <c r="F33" s="144" t="n">
        <v>3.6</v>
      </c>
    </row>
    <row r="34" ht="15" customHeight="1" s="91">
      <c r="A34" s="143" t="n">
        <v>27</v>
      </c>
      <c r="B34" s="140" t="inlineStr">
        <is>
          <t>Organizational Theory</t>
        </is>
      </c>
      <c r="C34" s="143" t="n">
        <v>60</v>
      </c>
      <c r="D34" s="143" t="n">
        <v>21</v>
      </c>
      <c r="E34" s="143" t="n">
        <v>11</v>
      </c>
      <c r="F34" s="143" t="n">
        <v>2.9</v>
      </c>
    </row>
    <row r="35" ht="15" customHeight="1" s="91">
      <c r="A35" s="144" t="n">
        <v>28</v>
      </c>
      <c r="B35" s="145" t="inlineStr">
        <is>
          <t>Competitive Strategy</t>
        </is>
      </c>
      <c r="C35" s="144" t="n">
        <v>59</v>
      </c>
      <c r="D35" s="144" t="n">
        <v>23</v>
      </c>
      <c r="E35" s="144" t="n">
        <v>12</v>
      </c>
      <c r="F35" s="144" t="n">
        <v>2.6</v>
      </c>
    </row>
    <row r="36" ht="15" customHeight="1" s="91">
      <c r="A36" s="143" t="n">
        <v>29</v>
      </c>
      <c r="B36" s="140" t="inlineStr">
        <is>
          <t>Corporate Strategy</t>
        </is>
      </c>
      <c r="C36" s="143" t="n">
        <v>57</v>
      </c>
      <c r="D36" s="143" t="n">
        <v>23</v>
      </c>
      <c r="E36" s="143" t="n">
        <v>13</v>
      </c>
      <c r="F36" s="143" t="n">
        <v>2.5</v>
      </c>
    </row>
    <row r="37" ht="15" customHeight="1" s="91">
      <c r="A37" s="144" t="n">
        <v>30</v>
      </c>
      <c r="B37" s="145" t="inlineStr">
        <is>
          <t>Entrepreneurship</t>
        </is>
      </c>
      <c r="C37" s="144" t="n">
        <v>56</v>
      </c>
      <c r="D37" s="144" t="n">
        <v>22</v>
      </c>
      <c r="E37" s="144" t="n">
        <v>11</v>
      </c>
      <c r="F37" s="144" t="n">
        <v>2.5</v>
      </c>
    </row>
    <row r="38" ht="15" customHeight="1" s="91">
      <c r="A38" s="143" t="n">
        <v>31</v>
      </c>
      <c r="B38" s="140" t="inlineStr">
        <is>
          <t>Leadership</t>
        </is>
      </c>
      <c r="C38" s="143" t="n">
        <v>54</v>
      </c>
      <c r="D38" s="143" t="n">
        <v>21</v>
      </c>
      <c r="E38" s="143" t="n">
        <v>11</v>
      </c>
      <c r="F38" s="143" t="n">
        <v>2.6</v>
      </c>
    </row>
    <row r="39" ht="15" customHeight="1" s="91">
      <c r="A39" s="144" t="n">
        <v>32</v>
      </c>
      <c r="B39" s="145" t="inlineStr">
        <is>
          <t>Empirical Research</t>
        </is>
      </c>
      <c r="C39" s="144" t="n">
        <v>53</v>
      </c>
      <c r="D39" s="144" t="n">
        <v>17</v>
      </c>
      <c r="E39" s="144" t="n">
        <v>20</v>
      </c>
      <c r="F39" s="144" t="n">
        <v>3.1</v>
      </c>
    </row>
    <row r="40" ht="15" customHeight="1" s="91">
      <c r="A40" s="143" t="n">
        <v>33</v>
      </c>
      <c r="B40" s="140" t="inlineStr">
        <is>
          <t>Applied Research</t>
        </is>
      </c>
      <c r="C40" s="143" t="n">
        <v>48</v>
      </c>
      <c r="D40" s="143" t="n">
        <v>17</v>
      </c>
      <c r="E40" s="143" t="n">
        <v>20</v>
      </c>
      <c r="F40" s="143" t="n">
        <v>2.8</v>
      </c>
    </row>
    <row r="41" ht="15" customHeight="1" s="91">
      <c r="A41" s="144" t="n">
        <v>34</v>
      </c>
      <c r="B41" s="145" t="inlineStr">
        <is>
          <t>Policy</t>
        </is>
      </c>
      <c r="C41" s="144" t="n">
        <v>44</v>
      </c>
      <c r="D41" s="144" t="n">
        <v>17</v>
      </c>
      <c r="E41" s="144" t="n">
        <v>20</v>
      </c>
      <c r="F41" s="144" t="n">
        <v>2.6</v>
      </c>
    </row>
    <row r="42" ht="15" customHeight="1" s="91">
      <c r="A42" s="143" t="n">
        <v>35</v>
      </c>
      <c r="B42" s="140" t="inlineStr">
        <is>
          <t>Innovation</t>
        </is>
      </c>
      <c r="C42" s="143" t="n">
        <v>43</v>
      </c>
      <c r="D42" s="143" t="n">
        <v>22</v>
      </c>
      <c r="E42" s="143" t="n">
        <v>12</v>
      </c>
      <c r="F42" s="143" t="n">
        <v>2</v>
      </c>
    </row>
    <row r="43" ht="15" customHeight="1" s="91">
      <c r="A43" s="144" t="n">
        <v>36</v>
      </c>
      <c r="B43" s="145" t="inlineStr">
        <is>
          <t>Information Systems</t>
        </is>
      </c>
      <c r="C43" s="144" t="n">
        <v>33</v>
      </c>
      <c r="D43" s="144" t="n">
        <v>12</v>
      </c>
      <c r="E43" s="144" t="n">
        <v>9</v>
      </c>
      <c r="F43" s="144" t="n">
        <v>2.8</v>
      </c>
    </row>
    <row r="44" ht="15" customHeight="1" s="91">
      <c r="A44" s="143" t="n">
        <v>37</v>
      </c>
      <c r="B44" s="140" t="inlineStr">
        <is>
          <t>Business Analytics</t>
        </is>
      </c>
      <c r="C44" s="143" t="n">
        <v>22</v>
      </c>
      <c r="D44" s="143" t="n">
        <v>11</v>
      </c>
      <c r="E44" s="143" t="n">
        <v>8</v>
      </c>
      <c r="F44" s="143" t="n">
        <v>2</v>
      </c>
    </row>
    <row r="45" ht="15" customHeight="1" s="91">
      <c r="A45" s="144" t="n">
        <v>38</v>
      </c>
      <c r="B45" s="145" t="inlineStr">
        <is>
          <t>Technology Management</t>
        </is>
      </c>
      <c r="C45" s="144" t="n">
        <v>20</v>
      </c>
      <c r="D45" s="144" t="n">
        <v>11</v>
      </c>
      <c r="E45" s="144" t="n">
        <v>8</v>
      </c>
      <c r="F45" s="144" t="n">
        <v>1.8</v>
      </c>
    </row>
    <row r="46" ht="15" customHeight="1" s="91">
      <c r="A46" s="143" t="n">
        <v>39</v>
      </c>
      <c r="B46" s="140" t="inlineStr">
        <is>
          <t>Data Science</t>
        </is>
      </c>
      <c r="C46" s="143" t="n">
        <v>16</v>
      </c>
      <c r="D46" s="143" t="n">
        <v>11</v>
      </c>
      <c r="E46" s="143" t="n">
        <v>8</v>
      </c>
      <c r="F46" s="143" t="n">
        <v>1.5</v>
      </c>
    </row>
    <row r="47" ht="15" customHeight="1" s="91">
      <c r="A47" s="144" t="n">
        <v>40</v>
      </c>
      <c r="B47" s="145" t="inlineStr">
        <is>
          <t>Behavioral Finance</t>
        </is>
      </c>
      <c r="C47" s="144" t="n">
        <v>13</v>
      </c>
      <c r="D47" s="144" t="n">
        <v>2</v>
      </c>
      <c r="E47" s="144" t="n">
        <v>1</v>
      </c>
      <c r="F47" s="144" t="n">
        <v>6.5</v>
      </c>
    </row>
    <row r="48" ht="15" customHeight="1" s="91">
      <c r="A48" s="143" t="n">
        <v>41</v>
      </c>
      <c r="B48" s="140" t="inlineStr">
        <is>
          <t>Financial Intermediation</t>
        </is>
      </c>
      <c r="C48" s="143" t="n">
        <v>8</v>
      </c>
      <c r="D48" s="143" t="n">
        <v>1</v>
      </c>
      <c r="E48" s="143" t="n">
        <v>1</v>
      </c>
      <c r="F48" s="143" t="n">
        <v>8</v>
      </c>
    </row>
    <row r="49" ht="15" customHeight="1" s="91">
      <c r="A49" s="144" t="n">
        <v>42</v>
      </c>
      <c r="B49" s="145" t="inlineStr">
        <is>
          <t>Tax Research</t>
        </is>
      </c>
      <c r="C49" s="144" t="n">
        <v>7</v>
      </c>
      <c r="D49" s="144" t="n">
        <v>1</v>
      </c>
      <c r="E49" s="144" t="n">
        <v>1</v>
      </c>
      <c r="F49" s="144" t="n">
        <v>7</v>
      </c>
    </row>
    <row r="50" ht="15" customHeight="1" s="91">
      <c r="A50" s="143" t="n">
        <v>43</v>
      </c>
      <c r="B50" s="140" t="inlineStr">
        <is>
          <t>Quantitative Marketing</t>
        </is>
      </c>
      <c r="C50" s="143" t="n">
        <v>7</v>
      </c>
      <c r="D50" s="143" t="n">
        <v>1</v>
      </c>
      <c r="E50" s="143" t="n">
        <v>1</v>
      </c>
      <c r="F50" s="143" t="n">
        <v>7</v>
      </c>
    </row>
    <row r="51" ht="15" customHeight="1" s="91">
      <c r="A51" s="144" t="n">
        <v>44</v>
      </c>
      <c r="B51" s="145" t="inlineStr">
        <is>
          <t>Operations Management</t>
        </is>
      </c>
      <c r="C51" s="144" t="n">
        <v>7</v>
      </c>
      <c r="D51" s="144" t="n">
        <v>1</v>
      </c>
      <c r="E51" s="144" t="n">
        <v>1</v>
      </c>
      <c r="F51" s="144" t="n">
        <v>7</v>
      </c>
    </row>
    <row r="52" ht="15" customHeight="1" s="91">
      <c r="A52" s="143" t="n">
        <v>45</v>
      </c>
      <c r="B52" s="140" t="inlineStr">
        <is>
          <t>Statistical Methods</t>
        </is>
      </c>
      <c r="C52" s="143" t="n">
        <v>7</v>
      </c>
      <c r="D52" s="143" t="n">
        <v>1</v>
      </c>
      <c r="E52" s="143" t="n">
        <v>1</v>
      </c>
      <c r="F52" s="143" t="n">
        <v>7</v>
      </c>
    </row>
    <row r="53" ht="15" customHeight="1" s="91">
      <c r="A53" s="144" t="n">
        <v>46</v>
      </c>
      <c r="B53" s="145" t="inlineStr">
        <is>
          <t>Machine Learning</t>
        </is>
      </c>
      <c r="C53" s="144" t="n">
        <v>7</v>
      </c>
      <c r="D53" s="144" t="n">
        <v>1</v>
      </c>
      <c r="E53" s="144" t="n">
        <v>1</v>
      </c>
      <c r="F53" s="144" t="n">
        <v>7</v>
      </c>
    </row>
    <row r="54" ht="15" customHeight="1" s="91">
      <c r="A54" s="143" t="n">
        <v>47</v>
      </c>
      <c r="B54" s="140" t="inlineStr">
        <is>
          <t>Health Care Delivery</t>
        </is>
      </c>
      <c r="C54" s="143" t="n">
        <v>7</v>
      </c>
      <c r="D54" s="143" t="n">
        <v>1</v>
      </c>
      <c r="E54" s="143" t="n">
        <v>1</v>
      </c>
      <c r="F54" s="143" t="n">
        <v>7</v>
      </c>
    </row>
    <row r="55" ht="15" customHeight="1" s="91">
      <c r="A55" s="144" t="n">
        <v>48</v>
      </c>
      <c r="B55" s="145" t="inlineStr">
        <is>
          <t>Health Policy</t>
        </is>
      </c>
      <c r="C55" s="144" t="n">
        <v>7</v>
      </c>
      <c r="D55" s="144" t="n">
        <v>1</v>
      </c>
      <c r="E55" s="144" t="n">
        <v>1</v>
      </c>
      <c r="F55" s="144" t="n">
        <v>7</v>
      </c>
    </row>
    <row r="56" ht="15" customHeight="1" s="91">
      <c r="A56" s="143" t="n">
        <v>49</v>
      </c>
      <c r="B56" s="140" t="inlineStr">
        <is>
          <t>Public Policy &amp; Regulation</t>
        </is>
      </c>
      <c r="C56" s="143" t="n">
        <v>6</v>
      </c>
      <c r="D56" s="143" t="n">
        <v>1</v>
      </c>
      <c r="E56" s="143" t="n">
        <v>1</v>
      </c>
      <c r="F56" s="143" t="n">
        <v>6</v>
      </c>
    </row>
    <row r="57" ht="15" customHeight="1" s="91">
      <c r="A57" s="144" t="n">
        <v>50</v>
      </c>
      <c r="B57" s="145" t="inlineStr">
        <is>
          <t>Human Resource Management</t>
        </is>
      </c>
      <c r="C57" s="144" t="n">
        <v>6</v>
      </c>
      <c r="D57" s="144" t="n">
        <v>1</v>
      </c>
      <c r="E57" s="144" t="n">
        <v>1</v>
      </c>
      <c r="F57" s="144" t="n">
        <v>6</v>
      </c>
    </row>
    <row r="58" ht="15" customHeight="1" s="91">
      <c r="A58" s="143" t="n">
        <v>51</v>
      </c>
      <c r="B58" s="140" t="inlineStr">
        <is>
          <t>Decision Sciences</t>
        </is>
      </c>
      <c r="C58" s="143" t="n">
        <v>6</v>
      </c>
      <c r="D58" s="143" t="n">
        <v>1</v>
      </c>
      <c r="E58" s="143" t="n">
        <v>1</v>
      </c>
      <c r="F58" s="143" t="n">
        <v>6</v>
      </c>
    </row>
    <row r="59" ht="15" customHeight="1" s="91">
      <c r="A59" s="144" t="n">
        <v>52</v>
      </c>
      <c r="B59" s="145" t="inlineStr">
        <is>
          <t>Causal Inference</t>
        </is>
      </c>
      <c r="C59" s="144" t="n">
        <v>6</v>
      </c>
      <c r="D59" s="144" t="n">
        <v>1</v>
      </c>
      <c r="E59" s="144" t="n">
        <v>1</v>
      </c>
      <c r="F59" s="144" t="n">
        <v>6</v>
      </c>
    </row>
    <row r="60" ht="15" customHeight="1" s="91">
      <c r="A60" s="143" t="n">
        <v>53</v>
      </c>
      <c r="B60" s="140" t="inlineStr">
        <is>
          <t>Medical Decision Making</t>
        </is>
      </c>
      <c r="C60" s="143" t="n">
        <v>6</v>
      </c>
      <c r="D60" s="143" t="n">
        <v>1</v>
      </c>
      <c r="E60" s="143" t="n">
        <v>1</v>
      </c>
      <c r="F60" s="143" t="n">
        <v>6</v>
      </c>
    </row>
    <row r="61" ht="15" customHeight="1" s="91">
      <c r="A61" s="144" t="n">
        <v>54</v>
      </c>
      <c r="B61" s="145" t="inlineStr">
        <is>
          <t>Political Economy</t>
        </is>
      </c>
      <c r="C61" s="144" t="n">
        <v>6</v>
      </c>
      <c r="D61" s="144" t="n">
        <v>1</v>
      </c>
      <c r="E61" s="144" t="n">
        <v>1</v>
      </c>
      <c r="F61" s="144" t="n">
        <v>6</v>
      </c>
    </row>
    <row r="62" ht="15" customHeight="1" s="91">
      <c r="A62" s="143" t="n">
        <v>55</v>
      </c>
      <c r="B62" s="140" t="inlineStr">
        <is>
          <t>Venture Finance</t>
        </is>
      </c>
      <c r="C62" s="143" t="n">
        <v>6</v>
      </c>
      <c r="D62" s="143" t="n">
        <v>1</v>
      </c>
      <c r="E62" s="143" t="n">
        <v>1</v>
      </c>
      <c r="F62" s="143" t="n">
        <v>6</v>
      </c>
    </row>
    <row r="63" ht="15" customHeight="1" s="91">
      <c r="A63" s="144" t="n">
        <v>56</v>
      </c>
      <c r="B63" s="145" t="inlineStr">
        <is>
          <t>New Venture Strategy</t>
        </is>
      </c>
      <c r="C63" s="144" t="n">
        <v>6</v>
      </c>
      <c r="D63" s="144" t="n">
        <v>1</v>
      </c>
      <c r="E63" s="144" t="n">
        <v>1</v>
      </c>
      <c r="F63" s="144" t="n">
        <v>6</v>
      </c>
    </row>
    <row r="64" ht="15" customHeight="1" s="91">
      <c r="A64" s="143" t="n">
        <v>57</v>
      </c>
      <c r="B64" s="140" t="inlineStr">
        <is>
          <t>Marketing Strategy</t>
        </is>
      </c>
      <c r="C64" s="143" t="n">
        <v>6</v>
      </c>
      <c r="D64" s="143" t="n">
        <v>1</v>
      </c>
      <c r="E64" s="143" t="n">
        <v>1</v>
      </c>
      <c r="F64" s="143" t="n">
        <v>6</v>
      </c>
    </row>
    <row r="65" ht="15" customHeight="1" s="91">
      <c r="A65" s="144" t="n">
        <v>58</v>
      </c>
      <c r="B65" s="145" t="inlineStr">
        <is>
          <t>Negotiation &amp; Conflict</t>
        </is>
      </c>
      <c r="C65" s="144" t="n">
        <v>6</v>
      </c>
      <c r="D65" s="144" t="n">
        <v>1</v>
      </c>
      <c r="E65" s="144" t="n">
        <v>1</v>
      </c>
      <c r="F65" s="144" t="n">
        <v>6</v>
      </c>
    </row>
    <row r="66" ht="15" customHeight="1" s="91">
      <c r="A66" s="143" t="n">
        <v>59</v>
      </c>
      <c r="B66" s="140" t="inlineStr">
        <is>
          <t>Industry Dynamics</t>
        </is>
      </c>
      <c r="C66" s="143" t="n">
        <v>6</v>
      </c>
      <c r="D66" s="143" t="n">
        <v>1</v>
      </c>
      <c r="E66" s="143" t="n">
        <v>1</v>
      </c>
      <c r="F66" s="143" t="n">
        <v>6</v>
      </c>
    </row>
    <row r="67" ht="15" customHeight="1" s="91">
      <c r="A67" s="144" t="n">
        <v>60</v>
      </c>
      <c r="B67" s="145" t="inlineStr">
        <is>
          <t>Health Economics</t>
        </is>
      </c>
      <c r="C67" s="144" t="n">
        <v>5</v>
      </c>
      <c r="D67" s="144" t="n">
        <v>1</v>
      </c>
      <c r="E67" s="144" t="n">
        <v>1</v>
      </c>
      <c r="F67" s="144" t="n">
        <v>5</v>
      </c>
    </row>
    <row r="68" ht="15" customHeight="1" s="91">
      <c r="A68" s="143" t="n">
        <v>61</v>
      </c>
      <c r="B68" s="140" t="inlineStr">
        <is>
          <t>Labor Economics</t>
        </is>
      </c>
      <c r="C68" s="143" t="n">
        <v>5</v>
      </c>
      <c r="D68" s="143" t="n">
        <v>1</v>
      </c>
      <c r="E68" s="143" t="n">
        <v>1</v>
      </c>
      <c r="F68" s="143" t="n">
        <v>5</v>
      </c>
    </row>
    <row r="69" ht="15" customHeight="1" s="91">
      <c r="A69" s="144" t="n">
        <v>62</v>
      </c>
      <c r="B69" s="145" t="inlineStr">
        <is>
          <t>Corporate Governance</t>
        </is>
      </c>
      <c r="C69" s="144" t="n">
        <v>5</v>
      </c>
      <c r="D69" s="144" t="n">
        <v>1</v>
      </c>
      <c r="E69" s="144" t="n">
        <v>1</v>
      </c>
      <c r="F69" s="144" t="n">
        <v>5</v>
      </c>
    </row>
    <row r="70" ht="15" customHeight="1" s="91">
      <c r="A70" s="143" t="n">
        <v>63</v>
      </c>
      <c r="B70" s="140" t="inlineStr">
        <is>
          <t>Business Ethics</t>
        </is>
      </c>
      <c r="C70" s="143" t="n">
        <v>5</v>
      </c>
      <c r="D70" s="143" t="n">
        <v>1</v>
      </c>
      <c r="E70" s="143" t="n">
        <v>1</v>
      </c>
      <c r="F70" s="143" t="n">
        <v>5</v>
      </c>
    </row>
    <row r="71" ht="15" customHeight="1" s="91">
      <c r="A71" s="144" t="n">
        <v>64</v>
      </c>
      <c r="B71" s="145" t="inlineStr">
        <is>
          <t>Real Estate Finance</t>
        </is>
      </c>
      <c r="C71" s="144" t="n">
        <v>5</v>
      </c>
      <c r="D71" s="144" t="n">
        <v>1</v>
      </c>
      <c r="E71" s="144" t="n">
        <v>1</v>
      </c>
      <c r="F71" s="144" t="n">
        <v>5</v>
      </c>
    </row>
    <row r="72" ht="15" customHeight="1" s="91">
      <c r="A72" s="143" t="n">
        <v>65</v>
      </c>
      <c r="B72" s="140" t="inlineStr">
        <is>
          <t>Bayesian Statistics</t>
        </is>
      </c>
      <c r="C72" s="143" t="n">
        <v>5</v>
      </c>
      <c r="D72" s="143" t="n">
        <v>1</v>
      </c>
      <c r="E72" s="143" t="n">
        <v>1</v>
      </c>
      <c r="F72" s="143" t="n">
        <v>5</v>
      </c>
    </row>
    <row r="73" ht="15" customHeight="1" s="91">
      <c r="A73" s="144" t="n">
        <v>66</v>
      </c>
      <c r="B73" s="145" t="inlineStr">
        <is>
          <t>Health Care Innovation</t>
        </is>
      </c>
      <c r="C73" s="144" t="n">
        <v>5</v>
      </c>
      <c r="D73" s="144" t="n">
        <v>1</v>
      </c>
      <c r="E73" s="144" t="n">
        <v>1</v>
      </c>
      <c r="F73" s="144" t="n">
        <v>5</v>
      </c>
    </row>
    <row r="74" ht="15" customHeight="1" s="91">
      <c r="A74" s="143" t="n">
        <v>67</v>
      </c>
      <c r="B74" s="140" t="inlineStr">
        <is>
          <t>Financial Reporting</t>
        </is>
      </c>
      <c r="C74" s="143" t="n">
        <v>5</v>
      </c>
      <c r="D74" s="143" t="n">
        <v>1</v>
      </c>
      <c r="E74" s="143" t="n">
        <v>1</v>
      </c>
      <c r="F74" s="143" t="n">
        <v>5</v>
      </c>
    </row>
    <row r="75" ht="15" customHeight="1" s="91">
      <c r="A75" s="144" t="n">
        <v>68</v>
      </c>
      <c r="B75" s="145" t="inlineStr">
        <is>
          <t>Management Control</t>
        </is>
      </c>
      <c r="C75" s="144" t="n">
        <v>5</v>
      </c>
      <c r="D75" s="144" t="n">
        <v>1</v>
      </c>
      <c r="E75" s="144" t="n">
        <v>1</v>
      </c>
      <c r="F75" s="144" t="n">
        <v>5</v>
      </c>
    </row>
    <row r="76" ht="15" customHeight="1" s="91">
      <c r="A76" s="143" t="n">
        <v>69</v>
      </c>
      <c r="B76" s="140" t="inlineStr">
        <is>
          <t>International Trade</t>
        </is>
      </c>
      <c r="C76" s="143" t="n">
        <v>5</v>
      </c>
      <c r="D76" s="143" t="n">
        <v>1</v>
      </c>
      <c r="E76" s="143" t="n">
        <v>1</v>
      </c>
      <c r="F76" s="143" t="n">
        <v>5</v>
      </c>
    </row>
    <row r="77" ht="15" customHeight="1" s="91">
      <c r="A77" s="144" t="n">
        <v>70</v>
      </c>
      <c r="B77" s="145" t="inlineStr">
        <is>
          <t>Economic Development</t>
        </is>
      </c>
      <c r="C77" s="144" t="n">
        <v>5</v>
      </c>
      <c r="D77" s="144" t="n">
        <v>1</v>
      </c>
      <c r="E77" s="144" t="n">
        <v>1</v>
      </c>
      <c r="F77" s="144" t="n">
        <v>5</v>
      </c>
    </row>
    <row r="78" ht="15" customHeight="1" s="91">
      <c r="A78" s="143" t="n">
        <v>71</v>
      </c>
      <c r="B78" s="140" t="inlineStr">
        <is>
          <t>Entrepreneurial Ecosystems</t>
        </is>
      </c>
      <c r="C78" s="143" t="n">
        <v>5</v>
      </c>
      <c r="D78" s="143" t="n">
        <v>1</v>
      </c>
      <c r="E78" s="143" t="n">
        <v>1</v>
      </c>
      <c r="F78" s="143" t="n">
        <v>5</v>
      </c>
    </row>
    <row r="79" ht="15" customHeight="1" s="91">
      <c r="A79" s="144" t="n">
        <v>72</v>
      </c>
      <c r="B79" s="145" t="inlineStr">
        <is>
          <t>Social Entrepreneurship</t>
        </is>
      </c>
      <c r="C79" s="144" t="n">
        <v>5</v>
      </c>
      <c r="D79" s="144" t="n">
        <v>1</v>
      </c>
      <c r="E79" s="144" t="n">
        <v>1</v>
      </c>
      <c r="F79" s="144" t="n">
        <v>5</v>
      </c>
    </row>
    <row r="80" ht="15" customHeight="1" s="91">
      <c r="A80" s="143" t="n">
        <v>73</v>
      </c>
      <c r="B80" s="140" t="inlineStr">
        <is>
          <t>Leadership Development</t>
        </is>
      </c>
      <c r="C80" s="143" t="n">
        <v>5</v>
      </c>
      <c r="D80" s="143" t="n">
        <v>1</v>
      </c>
      <c r="E80" s="143" t="n">
        <v>1</v>
      </c>
      <c r="F80" s="143" t="n">
        <v>5</v>
      </c>
    </row>
    <row r="81" ht="15" customHeight="1" s="91">
      <c r="A81" s="144" t="n">
        <v>74</v>
      </c>
      <c r="B81" s="145" t="inlineStr">
        <is>
          <t>Organizational Transformation</t>
        </is>
      </c>
      <c r="C81" s="144" t="n">
        <v>5</v>
      </c>
      <c r="D81" s="144" t="n">
        <v>1</v>
      </c>
      <c r="E81" s="144" t="n">
        <v>1</v>
      </c>
      <c r="F81" s="144" t="n">
        <v>5</v>
      </c>
    </row>
    <row r="82" ht="15" customHeight="1" s="91">
      <c r="A82" s="143" t="n">
        <v>75</v>
      </c>
      <c r="B82" s="140" t="inlineStr">
        <is>
          <t>Digital &amp; Platform Marketing</t>
        </is>
      </c>
      <c r="C82" s="143" t="n">
        <v>5</v>
      </c>
      <c r="D82" s="143" t="n">
        <v>1</v>
      </c>
      <c r="E82" s="143" t="n">
        <v>1</v>
      </c>
      <c r="F82" s="143" t="n">
        <v>5</v>
      </c>
    </row>
    <row r="83" ht="15" customHeight="1" s="91">
      <c r="A83" s="144" t="n">
        <v>76</v>
      </c>
      <c r="B83" s="145" t="inlineStr">
        <is>
          <t>Pricing &amp; Revenue Management</t>
        </is>
      </c>
      <c r="C83" s="144" t="n">
        <v>5</v>
      </c>
      <c r="D83" s="144" t="n">
        <v>1</v>
      </c>
      <c r="E83" s="144" t="n">
        <v>1</v>
      </c>
      <c r="F83" s="144" t="n">
        <v>5</v>
      </c>
    </row>
    <row r="84" ht="15" customHeight="1" s="91">
      <c r="A84" s="143" t="n">
        <v>77</v>
      </c>
      <c r="B84" s="140" t="inlineStr">
        <is>
          <t>Organizational Design</t>
        </is>
      </c>
      <c r="C84" s="143" t="n">
        <v>5</v>
      </c>
      <c r="D84" s="143" t="n">
        <v>1</v>
      </c>
      <c r="E84" s="143" t="n">
        <v>1</v>
      </c>
      <c r="F84" s="143" t="n">
        <v>5</v>
      </c>
    </row>
    <row r="85" ht="15" customHeight="1" s="91">
      <c r="A85" s="144" t="n">
        <v>78</v>
      </c>
      <c r="B85" s="145" t="inlineStr">
        <is>
          <t>Market Design</t>
        </is>
      </c>
      <c r="C85" s="144" t="n">
        <v>5</v>
      </c>
      <c r="D85" s="144" t="n">
        <v>1</v>
      </c>
      <c r="E85" s="144" t="n">
        <v>1</v>
      </c>
      <c r="F85" s="144" t="n">
        <v>5</v>
      </c>
    </row>
    <row r="86" ht="15" customHeight="1" s="91">
      <c r="A86" s="143" t="n">
        <v>79</v>
      </c>
      <c r="B86" s="140" t="inlineStr">
        <is>
          <t>Motivation &amp; Performance</t>
        </is>
      </c>
      <c r="C86" s="143" t="n">
        <v>5</v>
      </c>
      <c r="D86" s="143" t="n">
        <v>1</v>
      </c>
      <c r="E86" s="143" t="n">
        <v>1</v>
      </c>
      <c r="F86" s="143" t="n">
        <v>5</v>
      </c>
    </row>
    <row r="87" ht="15" customHeight="1" s="91">
      <c r="A87" s="144" t="n">
        <v>80</v>
      </c>
      <c r="B87" s="145" t="inlineStr">
        <is>
          <t>Organizational Culture</t>
        </is>
      </c>
      <c r="C87" s="144" t="n">
        <v>5</v>
      </c>
      <c r="D87" s="144" t="n">
        <v>1</v>
      </c>
      <c r="E87" s="144" t="n">
        <v>1</v>
      </c>
      <c r="F87" s="144" t="n">
        <v>5</v>
      </c>
    </row>
    <row r="88" ht="15" customHeight="1" s="91">
      <c r="A88" s="143" t="n">
        <v>81</v>
      </c>
      <c r="B88" s="140" t="inlineStr">
        <is>
          <t>Innovation Strategy</t>
        </is>
      </c>
      <c r="C88" s="143" t="n">
        <v>5</v>
      </c>
      <c r="D88" s="143" t="n">
        <v>1</v>
      </c>
      <c r="E88" s="143" t="n">
        <v>1</v>
      </c>
      <c r="F88" s="143" t="n">
        <v>5</v>
      </c>
    </row>
    <row r="89" ht="15" customHeight="1" s="91">
      <c r="A89" s="144" t="n">
        <v>82</v>
      </c>
      <c r="B89" s="145" t="inlineStr">
        <is>
          <t>Operations Strategy</t>
        </is>
      </c>
      <c r="C89" s="144" t="n">
        <v>5</v>
      </c>
      <c r="D89" s="144" t="n">
        <v>1</v>
      </c>
      <c r="E89" s="144" t="n">
        <v>1</v>
      </c>
      <c r="F89" s="144" t="n">
        <v>5</v>
      </c>
    </row>
    <row r="90" ht="15" customHeight="1" s="91">
      <c r="A90" s="143" t="n">
        <v>83</v>
      </c>
      <c r="B90" s="140" t="inlineStr">
        <is>
          <t>Regulatory Compliance</t>
        </is>
      </c>
      <c r="C90" s="143" t="n">
        <v>4</v>
      </c>
      <c r="D90" s="143" t="n">
        <v>1</v>
      </c>
      <c r="E90" s="143" t="n">
        <v>1</v>
      </c>
      <c r="F90" s="143" t="n">
        <v>4</v>
      </c>
    </row>
    <row r="91" ht="15" customHeight="1" s="91">
      <c r="A91" s="144" t="n">
        <v>84</v>
      </c>
      <c r="B91" s="145" t="inlineStr">
        <is>
          <t>International Business Law</t>
        </is>
      </c>
      <c r="C91" s="144" t="n">
        <v>4</v>
      </c>
      <c r="D91" s="144" t="n">
        <v>1</v>
      </c>
      <c r="E91" s="144" t="n">
        <v>1</v>
      </c>
      <c r="F91" s="144" t="n">
        <v>4</v>
      </c>
    </row>
    <row r="92" ht="15" customHeight="1" s="91">
      <c r="A92" s="143" t="n">
        <v>85</v>
      </c>
      <c r="B92" s="140" t="inlineStr">
        <is>
          <t>Urban Economics</t>
        </is>
      </c>
      <c r="C92" s="143" t="n">
        <v>4</v>
      </c>
      <c r="D92" s="143" t="n">
        <v>1</v>
      </c>
      <c r="E92" s="143" t="n">
        <v>1</v>
      </c>
      <c r="F92" s="143" t="n">
        <v>4</v>
      </c>
    </row>
    <row r="93" ht="15" customHeight="1" s="91">
      <c r="A93" s="144" t="n">
        <v>86</v>
      </c>
      <c r="B93" s="145" t="inlineStr">
        <is>
          <t>Capital Markets Research</t>
        </is>
      </c>
      <c r="C93" s="144" t="n">
        <v>4</v>
      </c>
      <c r="D93" s="144" t="n">
        <v>1</v>
      </c>
      <c r="E93" s="144" t="n">
        <v>1</v>
      </c>
      <c r="F93" s="144" t="n">
        <v>4</v>
      </c>
    </row>
    <row r="94" ht="15" customHeight="1" s="91">
      <c r="A94" s="143" t="n">
        <v>87</v>
      </c>
      <c r="B94" s="140" t="inlineStr">
        <is>
          <t>Cost &amp; Performance Analysis</t>
        </is>
      </c>
      <c r="C94" s="143" t="n">
        <v>4</v>
      </c>
      <c r="D94" s="143" t="n">
        <v>1</v>
      </c>
      <c r="E94" s="143" t="n">
        <v>1</v>
      </c>
      <c r="F94" s="143" t="n">
        <v>4</v>
      </c>
    </row>
    <row r="95" ht="15" customHeight="1" s="91">
      <c r="A95" s="144" t="n">
        <v>88</v>
      </c>
      <c r="B95" s="145" t="inlineStr">
        <is>
          <t>Macroeconomic Policy</t>
        </is>
      </c>
      <c r="C95" s="144" t="n">
        <v>4</v>
      </c>
      <c r="D95" s="144" t="n">
        <v>1</v>
      </c>
      <c r="E95" s="144" t="n">
        <v>1</v>
      </c>
      <c r="F95" s="144" t="n">
        <v>4</v>
      </c>
    </row>
    <row r="96" ht="15" customHeight="1" s="91">
      <c r="A96" s="143" t="n">
        <v>89</v>
      </c>
      <c r="B96" s="140" t="inlineStr">
        <is>
          <t>Board Governance</t>
        </is>
      </c>
      <c r="C96" s="143" t="n">
        <v>4</v>
      </c>
      <c r="D96" s="143" t="n">
        <v>1</v>
      </c>
      <c r="E96" s="143" t="n">
        <v>1</v>
      </c>
      <c r="F96" s="143" t="n">
        <v>4</v>
      </c>
    </row>
    <row r="97" ht="15" customHeight="1" s="91">
      <c r="A97" s="144" t="n">
        <v>90</v>
      </c>
      <c r="B97" s="145" t="inlineStr">
        <is>
          <t>Behavioral Economics</t>
        </is>
      </c>
      <c r="C97" s="144" t="n">
        <v>4</v>
      </c>
      <c r="D97" s="144" t="n">
        <v>1</v>
      </c>
      <c r="E97" s="144" t="n">
        <v>1</v>
      </c>
      <c r="F97" s="144" t="n">
        <v>4</v>
      </c>
    </row>
    <row r="98" ht="15" customHeight="1" s="91">
      <c r="A98" s="143" t="n">
        <v>91</v>
      </c>
      <c r="B98" s="140" t="inlineStr">
        <is>
          <t>Technology &amp; Innovation Management</t>
        </is>
      </c>
      <c r="C98" s="143" t="n">
        <v>4</v>
      </c>
      <c r="D98" s="143" t="n">
        <v>1</v>
      </c>
      <c r="E98" s="143" t="n">
        <v>1</v>
      </c>
      <c r="F98" s="143" t="n">
        <v>4</v>
      </c>
    </row>
    <row r="99" ht="15" customHeight="1" s="91">
      <c r="A99" s="144" t="n">
        <v>92</v>
      </c>
      <c r="B99" s="145" t="inlineStr">
        <is>
          <t>Service Operations</t>
        </is>
      </c>
      <c r="C99" s="144" t="n">
        <v>4</v>
      </c>
      <c r="D99" s="144" t="n">
        <v>1</v>
      </c>
      <c r="E99" s="144" t="n">
        <v>1</v>
      </c>
      <c r="F99" s="144" t="n">
        <v>4</v>
      </c>
    </row>
    <row r="100" ht="15" customHeight="1" s="91">
      <c r="A100" s="143" t="n">
        <v>93</v>
      </c>
      <c r="B100" s="140" t="inlineStr">
        <is>
          <t>Housing Markets</t>
        </is>
      </c>
      <c r="C100" s="143" t="n">
        <v>3</v>
      </c>
      <c r="D100" s="143" t="n">
        <v>1</v>
      </c>
      <c r="E100" s="143" t="n">
        <v>1</v>
      </c>
      <c r="F100" s="143" t="n">
        <v>3</v>
      </c>
    </row>
    <row r="101" ht="15" customHeight="1" s="91">
      <c r="A101" s="144" t="n">
        <v>94</v>
      </c>
      <c r="B101" s="145" t="inlineStr">
        <is>
          <t>Commercial Real Estate</t>
        </is>
      </c>
      <c r="C101" s="144" t="n">
        <v>2</v>
      </c>
      <c r="D101" s="144" t="n">
        <v>1</v>
      </c>
      <c r="E101" s="144" t="n">
        <v>1</v>
      </c>
      <c r="F101" s="144" t="n">
        <v>2</v>
      </c>
    </row>
    <row r="103" ht="15" customHeight="1" s="91">
      <c r="A103" s="141" t="inlineStr">
        <is>
          <t>Departments Ranked by Total Faculty</t>
        </is>
      </c>
    </row>
    <row r="104" ht="15" customHeight="1" s="91">
      <c r="A104" s="142" t="inlineStr">
        <is>
          <t>Rank</t>
        </is>
      </c>
      <c r="B104" s="142" t="inlineStr">
        <is>
          <t>Department</t>
        </is>
      </c>
      <c r="C104" s="142" t="inlineStr">
        <is>
          <t>Total Faculty</t>
        </is>
      </c>
      <c r="D104" s="142" t="inlineStr">
        <is>
          <t># Schools</t>
        </is>
      </c>
      <c r="E104" s="142" t="inlineStr">
        <is>
          <t># Sub-Areas</t>
        </is>
      </c>
      <c r="F104" s="142" t="inlineStr">
        <is>
          <t>Avg Faculty/School</t>
        </is>
      </c>
    </row>
    <row r="105" ht="15" customHeight="1" s="91">
      <c r="A105" s="143" t="n">
        <v>1</v>
      </c>
      <c r="B105" s="140" t="inlineStr">
        <is>
          <t>Finance</t>
        </is>
      </c>
      <c r="C105" s="143" t="n">
        <v>568</v>
      </c>
      <c r="D105" s="143" t="n">
        <v>44</v>
      </c>
      <c r="E105" s="143" t="n">
        <v>6</v>
      </c>
      <c r="F105" s="143" t="n">
        <v>12.9</v>
      </c>
    </row>
    <row r="106" ht="15" customHeight="1" s="91">
      <c r="A106" s="144" t="n">
        <v>2</v>
      </c>
      <c r="B106" s="145" t="inlineStr">
        <is>
          <t>Marketing</t>
        </is>
      </c>
      <c r="C106" s="144" t="n">
        <v>472</v>
      </c>
      <c r="D106" s="144" t="n">
        <v>45</v>
      </c>
      <c r="E106" s="144" t="n">
        <v>8</v>
      </c>
      <c r="F106" s="144" t="n">
        <v>10.5</v>
      </c>
    </row>
    <row r="107" ht="15" customHeight="1" s="91">
      <c r="A107" s="143" t="n">
        <v>3</v>
      </c>
      <c r="B107" s="140" t="inlineStr">
        <is>
          <t>Accounting</t>
        </is>
      </c>
      <c r="C107" s="143" t="n">
        <v>342</v>
      </c>
      <c r="D107" s="143" t="n">
        <v>37</v>
      </c>
      <c r="E107" s="143" t="n">
        <v>5</v>
      </c>
      <c r="F107" s="143" t="n">
        <v>9.199999999999999</v>
      </c>
    </row>
    <row r="108" ht="15" customHeight="1" s="91">
      <c r="A108" s="144" t="n">
        <v>4</v>
      </c>
      <c r="B108" s="145" t="inlineStr">
        <is>
          <t>Management</t>
        </is>
      </c>
      <c r="C108" s="144" t="n">
        <v>158</v>
      </c>
      <c r="D108" s="144" t="n">
        <v>13</v>
      </c>
      <c r="E108" s="144" t="n">
        <v>6</v>
      </c>
      <c r="F108" s="144" t="n">
        <v>12.2</v>
      </c>
    </row>
    <row r="109" ht="15" customHeight="1" s="91">
      <c r="A109" s="143" t="n">
        <v>5</v>
      </c>
      <c r="B109" s="140" t="inlineStr">
        <is>
          <t>Economics</t>
        </is>
      </c>
      <c r="C109" s="143" t="n">
        <v>99</v>
      </c>
      <c r="D109" s="143" t="n">
        <v>11</v>
      </c>
      <c r="E109" s="143" t="n">
        <v>4</v>
      </c>
      <c r="F109" s="143" t="n">
        <v>9</v>
      </c>
    </row>
    <row r="110" ht="15" customHeight="1" s="91">
      <c r="A110" s="144" t="n">
        <v>6</v>
      </c>
      <c r="B110" s="145" t="inlineStr">
        <is>
          <t>Strategy</t>
        </is>
      </c>
      <c r="C110" s="144" t="n">
        <v>79</v>
      </c>
      <c r="D110" s="144" t="n">
        <v>7</v>
      </c>
      <c r="E110" s="144" t="n">
        <v>6</v>
      </c>
      <c r="F110" s="144" t="n">
        <v>11.3</v>
      </c>
    </row>
    <row r="111" ht="15" customHeight="1" s="91">
      <c r="A111" s="143" t="n">
        <v>7</v>
      </c>
      <c r="B111" s="140" t="inlineStr">
        <is>
          <t>Management &amp; Organizations</t>
        </is>
      </c>
      <c r="C111" s="143" t="n">
        <v>77</v>
      </c>
      <c r="D111" s="143" t="n">
        <v>6</v>
      </c>
      <c r="E111" s="143" t="n">
        <v>4</v>
      </c>
      <c r="F111" s="143" t="n">
        <v>12.8</v>
      </c>
    </row>
    <row r="112" ht="15" customHeight="1" s="91">
      <c r="A112" s="144" t="n">
        <v>8</v>
      </c>
      <c r="B112" s="145" t="inlineStr">
        <is>
          <t>Operations Management</t>
        </is>
      </c>
      <c r="C112" s="144" t="n">
        <v>67</v>
      </c>
      <c r="D112" s="144" t="n">
        <v>9</v>
      </c>
      <c r="E112" s="144" t="n">
        <v>4</v>
      </c>
      <c r="F112" s="144" t="n">
        <v>7.4</v>
      </c>
    </row>
    <row r="113" ht="15" customHeight="1" s="91">
      <c r="A113" s="143" t="n">
        <v>9</v>
      </c>
      <c r="B113" s="140" t="inlineStr">
        <is>
          <t>Organizational Behavior</t>
        </is>
      </c>
      <c r="C113" s="143" t="n">
        <v>65</v>
      </c>
      <c r="D113" s="143" t="n">
        <v>6</v>
      </c>
      <c r="E113" s="143" t="n">
        <v>6</v>
      </c>
      <c r="F113" s="143" t="n">
        <v>10.8</v>
      </c>
    </row>
    <row r="114" ht="15" customHeight="1" s="91">
      <c r="A114" s="144" t="n">
        <v>10</v>
      </c>
      <c r="B114" s="145" t="inlineStr">
        <is>
          <t>Management &amp; Organization</t>
        </is>
      </c>
      <c r="C114" s="144" t="n">
        <v>61</v>
      </c>
      <c r="D114" s="144" t="n">
        <v>5</v>
      </c>
      <c r="E114" s="144" t="n">
        <v>4</v>
      </c>
      <c r="F114" s="144" t="n">
        <v>12.2</v>
      </c>
    </row>
    <row r="115" ht="15" customHeight="1" s="91">
      <c r="A115" s="143" t="n">
        <v>11</v>
      </c>
      <c r="B115" s="140" t="inlineStr">
        <is>
          <t>Accountancy</t>
        </is>
      </c>
      <c r="C115" s="143" t="n">
        <v>45</v>
      </c>
      <c r="D115" s="143" t="n">
        <v>5</v>
      </c>
      <c r="E115" s="143" t="n">
        <v>4</v>
      </c>
      <c r="F115" s="143" t="n">
        <v>9</v>
      </c>
    </row>
    <row r="116" ht="15" customHeight="1" s="91">
      <c r="A116" s="144" t="n">
        <v>12</v>
      </c>
      <c r="B116" s="145" t="inlineStr">
        <is>
          <t>Business Economics &amp; Public Policy</t>
        </is>
      </c>
      <c r="C116" s="144" t="n">
        <v>40</v>
      </c>
      <c r="D116" s="144" t="n">
        <v>3</v>
      </c>
      <c r="E116" s="144" t="n">
        <v>7</v>
      </c>
      <c r="F116" s="144" t="n">
        <v>13.3</v>
      </c>
    </row>
    <row r="117" ht="15" customHeight="1" s="91">
      <c r="A117" s="143" t="n">
        <v>13</v>
      </c>
      <c r="B117" s="140" t="inlineStr">
        <is>
          <t>Strategic Management</t>
        </is>
      </c>
      <c r="C117" s="143" t="n">
        <v>36</v>
      </c>
      <c r="D117" s="143" t="n">
        <v>5</v>
      </c>
      <c r="E117" s="143" t="n">
        <v>4</v>
      </c>
      <c r="F117" s="143" t="n">
        <v>7.2</v>
      </c>
    </row>
    <row r="118" ht="15" customHeight="1" s="91">
      <c r="A118" s="144" t="n">
        <v>14</v>
      </c>
      <c r="B118" s="145" t="inlineStr">
        <is>
          <t>Real Estate</t>
        </is>
      </c>
      <c r="C118" s="144" t="n">
        <v>33</v>
      </c>
      <c r="D118" s="144" t="n">
        <v>3</v>
      </c>
      <c r="E118" s="144" t="n">
        <v>8</v>
      </c>
      <c r="F118" s="144" t="n">
        <v>11</v>
      </c>
    </row>
    <row r="119" ht="15" customHeight="1" s="91">
      <c r="A119" s="143" t="n">
        <v>15</v>
      </c>
      <c r="B119" s="140" t="inlineStr">
        <is>
          <t>Technology &amp; Operations Management</t>
        </is>
      </c>
      <c r="C119" s="143" t="n">
        <v>26</v>
      </c>
      <c r="D119" s="143" t="n">
        <v>2</v>
      </c>
      <c r="E119" s="143" t="n">
        <v>7</v>
      </c>
      <c r="F119" s="143" t="n">
        <v>13</v>
      </c>
    </row>
    <row r="120" ht="15" customHeight="1" s="91">
      <c r="A120" s="144" t="n">
        <v>16</v>
      </c>
      <c r="B120" s="145" t="inlineStr">
        <is>
          <t>Information Systems &amp; Operations Management</t>
        </is>
      </c>
      <c r="C120" s="144" t="n">
        <v>26</v>
      </c>
      <c r="D120" s="144" t="n">
        <v>3</v>
      </c>
      <c r="E120" s="144" t="n">
        <v>4</v>
      </c>
      <c r="F120" s="144" t="n">
        <v>8.699999999999999</v>
      </c>
    </row>
    <row r="121" ht="15" customHeight="1" s="91">
      <c r="A121" s="143" t="n">
        <v>17</v>
      </c>
      <c r="B121" s="140" t="inlineStr">
        <is>
          <t>Finance &amp; Business Economics</t>
        </is>
      </c>
      <c r="C121" s="143" t="n">
        <v>26</v>
      </c>
      <c r="D121" s="143" t="n">
        <v>2</v>
      </c>
      <c r="E121" s="143" t="n">
        <v>4</v>
      </c>
      <c r="F121" s="143" t="n">
        <v>13</v>
      </c>
    </row>
    <row r="122" ht="15" customHeight="1" s="91">
      <c r="A122" s="144" t="n">
        <v>18</v>
      </c>
      <c r="B122" s="145" t="inlineStr">
        <is>
          <t>Statistics &amp; Data Science</t>
        </is>
      </c>
      <c r="C122" s="144" t="n">
        <v>25</v>
      </c>
      <c r="D122" s="144" t="n">
        <v>1</v>
      </c>
      <c r="E122" s="144" t="n">
        <v>4</v>
      </c>
      <c r="F122" s="144" t="n">
        <v>25</v>
      </c>
    </row>
    <row r="123" ht="15" customHeight="1" s="91">
      <c r="A123" s="143" t="n">
        <v>19</v>
      </c>
      <c r="B123" s="140" t="inlineStr">
        <is>
          <t>Health Care Management</t>
        </is>
      </c>
      <c r="C123" s="143" t="n">
        <v>25</v>
      </c>
      <c r="D123" s="143" t="n">
        <v>1</v>
      </c>
      <c r="E123" s="143" t="n">
        <v>4</v>
      </c>
      <c r="F123" s="143" t="n">
        <v>25</v>
      </c>
    </row>
    <row r="124" ht="15" customHeight="1" s="91">
      <c r="A124" s="144" t="n">
        <v>20</v>
      </c>
      <c r="B124" s="145" t="inlineStr">
        <is>
          <t>Economic Analysis &amp; Policy</t>
        </is>
      </c>
      <c r="C124" s="144" t="n">
        <v>25</v>
      </c>
      <c r="D124" s="144" t="n">
        <v>1</v>
      </c>
      <c r="E124" s="144" t="n">
        <v>4</v>
      </c>
      <c r="F124" s="144" t="n">
        <v>25</v>
      </c>
    </row>
    <row r="125" ht="15" customHeight="1" s="91">
      <c r="A125" s="143" t="n">
        <v>21</v>
      </c>
      <c r="B125" s="140" t="inlineStr">
        <is>
          <t>Operations, Information &amp; Decisions</t>
        </is>
      </c>
      <c r="C125" s="143" t="n">
        <v>24</v>
      </c>
      <c r="D125" s="143" t="n">
        <v>1</v>
      </c>
      <c r="E125" s="143" t="n">
        <v>4</v>
      </c>
      <c r="F125" s="143" t="n">
        <v>24</v>
      </c>
    </row>
    <row r="126" ht="15" customHeight="1" s="91">
      <c r="A126" s="144" t="n">
        <v>22</v>
      </c>
      <c r="B126" s="145" t="inlineStr">
        <is>
          <t>Entrepreneurial Management</t>
        </is>
      </c>
      <c r="C126" s="144" t="n">
        <v>22</v>
      </c>
      <c r="D126" s="144" t="n">
        <v>1</v>
      </c>
      <c r="E126" s="144" t="n">
        <v>4</v>
      </c>
      <c r="F126" s="144" t="n">
        <v>22</v>
      </c>
    </row>
    <row r="127" ht="15" customHeight="1" s="91">
      <c r="A127" s="143" t="n">
        <v>23</v>
      </c>
      <c r="B127" s="140" t="inlineStr">
        <is>
          <t>Information Systems</t>
        </is>
      </c>
      <c r="C127" s="143" t="n">
        <v>22</v>
      </c>
      <c r="D127" s="143" t="n">
        <v>3</v>
      </c>
      <c r="E127" s="143" t="n">
        <v>4</v>
      </c>
      <c r="F127" s="143" t="n">
        <v>7.3</v>
      </c>
    </row>
    <row r="128" ht="15" customHeight="1" s="91">
      <c r="A128" s="144" t="n">
        <v>24</v>
      </c>
      <c r="B128" s="145" t="inlineStr">
        <is>
          <t>Accounting &amp; Information Assurance</t>
        </is>
      </c>
      <c r="C128" s="144" t="n">
        <v>21</v>
      </c>
      <c r="D128" s="144" t="n">
        <v>1</v>
      </c>
      <c r="E128" s="144" t="n">
        <v>4</v>
      </c>
      <c r="F128" s="144" t="n">
        <v>21</v>
      </c>
    </row>
    <row r="129" ht="15" customHeight="1" s="91">
      <c r="A129" s="143" t="n">
        <v>25</v>
      </c>
      <c r="B129" s="140" t="inlineStr">
        <is>
          <t>Logistics, Business &amp; Public Policy</t>
        </is>
      </c>
      <c r="C129" s="143" t="n">
        <v>21</v>
      </c>
      <c r="D129" s="143" t="n">
        <v>1</v>
      </c>
      <c r="E129" s="143" t="n">
        <v>4</v>
      </c>
      <c r="F129" s="143" t="n">
        <v>21</v>
      </c>
    </row>
    <row r="130" ht="15" customHeight="1" s="91">
      <c r="A130" s="144" t="n">
        <v>26</v>
      </c>
      <c r="B130" s="145" t="inlineStr">
        <is>
          <t>Business, Government &amp; the International Economy</t>
        </is>
      </c>
      <c r="C130" s="144" t="n">
        <v>20</v>
      </c>
      <c r="D130" s="144" t="n">
        <v>1</v>
      </c>
      <c r="E130" s="144" t="n">
        <v>4</v>
      </c>
      <c r="F130" s="144" t="n">
        <v>20</v>
      </c>
    </row>
    <row r="131" ht="15" customHeight="1" s="91">
      <c r="A131" s="143" t="n">
        <v>27</v>
      </c>
      <c r="B131" s="140" t="inlineStr">
        <is>
          <t>Negotiation, Organizations &amp; Markets</t>
        </is>
      </c>
      <c r="C131" s="143" t="n">
        <v>20</v>
      </c>
      <c r="D131" s="143" t="n">
        <v>1</v>
      </c>
      <c r="E131" s="143" t="n">
        <v>4</v>
      </c>
      <c r="F131" s="143" t="n">
        <v>20</v>
      </c>
    </row>
    <row r="132" ht="15" customHeight="1" s="91">
      <c r="A132" s="144" t="n">
        <v>28</v>
      </c>
      <c r="B132" s="145" t="inlineStr">
        <is>
          <t>Microeconomics</t>
        </is>
      </c>
      <c r="C132" s="144" t="n">
        <v>20</v>
      </c>
      <c r="D132" s="144" t="n">
        <v>1</v>
      </c>
      <c r="E132" s="144" t="n">
        <v>4</v>
      </c>
      <c r="F132" s="144" t="n">
        <v>20</v>
      </c>
    </row>
    <row r="133" ht="15" customHeight="1" s="91">
      <c r="A133" s="143" t="n">
        <v>29</v>
      </c>
      <c r="B133" s="140" t="inlineStr">
        <is>
          <t>Managerial Economics &amp; Decision Sciences</t>
        </is>
      </c>
      <c r="C133" s="143" t="n">
        <v>20</v>
      </c>
      <c r="D133" s="143" t="n">
        <v>1</v>
      </c>
      <c r="E133" s="143" t="n">
        <v>4</v>
      </c>
      <c r="F133" s="143" t="n">
        <v>20</v>
      </c>
    </row>
    <row r="134" ht="15" customHeight="1" s="91">
      <c r="A134" s="144" t="n">
        <v>30</v>
      </c>
      <c r="B134" s="145" t="inlineStr">
        <is>
          <t>Management &amp; Entrepreneurship</t>
        </is>
      </c>
      <c r="C134" s="144" t="n">
        <v>20</v>
      </c>
      <c r="D134" s="144" t="n">
        <v>3</v>
      </c>
      <c r="E134" s="144" t="n">
        <v>4</v>
      </c>
      <c r="F134" s="144" t="n">
        <v>6.7</v>
      </c>
    </row>
    <row r="135" ht="15" customHeight="1" s="91">
      <c r="A135" s="143" t="n">
        <v>31</v>
      </c>
      <c r="B135" s="140" t="inlineStr">
        <is>
          <t>Decision, Operations &amp; Information Technology</t>
        </is>
      </c>
      <c r="C135" s="143" t="n">
        <v>20</v>
      </c>
      <c r="D135" s="143" t="n">
        <v>1</v>
      </c>
      <c r="E135" s="143" t="n">
        <v>4</v>
      </c>
      <c r="F135" s="143" t="n">
        <v>20</v>
      </c>
    </row>
    <row r="136" ht="15" customHeight="1" s="91">
      <c r="A136" s="144" t="n">
        <v>32</v>
      </c>
      <c r="B136" s="145" t="inlineStr">
        <is>
          <t>Legal Studies &amp; Business Ethics</t>
        </is>
      </c>
      <c r="C136" s="144" t="n">
        <v>18</v>
      </c>
      <c r="D136" s="144" t="n">
        <v>1</v>
      </c>
      <c r="E136" s="144" t="n">
        <v>4</v>
      </c>
      <c r="F136" s="144" t="n">
        <v>18</v>
      </c>
    </row>
    <row r="137" ht="15" customHeight="1" s="91">
      <c r="A137" s="143" t="n">
        <v>33</v>
      </c>
      <c r="B137" s="140" t="inlineStr">
        <is>
          <t>Accounting &amp; Management</t>
        </is>
      </c>
      <c r="C137" s="143" t="n">
        <v>18</v>
      </c>
      <c r="D137" s="143" t="n">
        <v>1</v>
      </c>
      <c r="E137" s="143" t="n">
        <v>4</v>
      </c>
      <c r="F137" s="143" t="n">
        <v>18</v>
      </c>
    </row>
    <row r="138" ht="15" customHeight="1" s="91">
      <c r="A138" s="144" t="n">
        <v>34</v>
      </c>
      <c r="B138" s="145" t="inlineStr">
        <is>
          <t>General Management</t>
        </is>
      </c>
      <c r="C138" s="144" t="n">
        <v>18</v>
      </c>
      <c r="D138" s="144" t="n">
        <v>1</v>
      </c>
      <c r="E138" s="144" t="n">
        <v>4</v>
      </c>
      <c r="F138" s="144" t="n">
        <v>18</v>
      </c>
    </row>
    <row r="139" ht="15" customHeight="1" s="91">
      <c r="A139" s="143" t="n">
        <v>35</v>
      </c>
      <c r="B139" s="140" t="inlineStr">
        <is>
          <t>Behavioral Science</t>
        </is>
      </c>
      <c r="C139" s="143" t="n">
        <v>18</v>
      </c>
      <c r="D139" s="143" t="n">
        <v>1</v>
      </c>
      <c r="E139" s="143" t="n">
        <v>4</v>
      </c>
      <c r="F139" s="143" t="n">
        <v>18</v>
      </c>
    </row>
    <row r="140" ht="15" customHeight="1" s="91">
      <c r="A140" s="144" t="n">
        <v>36</v>
      </c>
      <c r="B140" s="145" t="inlineStr">
        <is>
          <t>Operations</t>
        </is>
      </c>
      <c r="C140" s="144" t="n">
        <v>18</v>
      </c>
      <c r="D140" s="144" t="n">
        <v>2</v>
      </c>
      <c r="E140" s="144" t="n">
        <v>4</v>
      </c>
      <c r="F140" s="144" t="n">
        <v>9</v>
      </c>
    </row>
    <row r="141" ht="15" customHeight="1" s="91">
      <c r="A141" s="143" t="n">
        <v>37</v>
      </c>
      <c r="B141" s="140" t="inlineStr">
        <is>
          <t>Applied Economics</t>
        </is>
      </c>
      <c r="C141" s="143" t="n">
        <v>18</v>
      </c>
      <c r="D141" s="143" t="n">
        <v>1</v>
      </c>
      <c r="E141" s="143" t="n">
        <v>4</v>
      </c>
      <c r="F141" s="143" t="n">
        <v>18</v>
      </c>
    </row>
    <row r="142" ht="15" customHeight="1" s="91">
      <c r="A142" s="144" t="n">
        <v>38</v>
      </c>
      <c r="B142" s="145" t="inlineStr">
        <is>
          <t>Strategic Management &amp; Entrepreneurship</t>
        </is>
      </c>
      <c r="C142" s="144" t="n">
        <v>18</v>
      </c>
      <c r="D142" s="144" t="n">
        <v>1</v>
      </c>
      <c r="E142" s="144" t="n">
        <v>4</v>
      </c>
      <c r="F142" s="144" t="n">
        <v>18</v>
      </c>
    </row>
    <row r="143" ht="15" customHeight="1" s="91">
      <c r="A143" s="143" t="n">
        <v>39</v>
      </c>
      <c r="B143" s="140" t="inlineStr">
        <is>
          <t>Decision, Risk &amp; Operations</t>
        </is>
      </c>
      <c r="C143" s="143" t="n">
        <v>17</v>
      </c>
      <c r="D143" s="143" t="n">
        <v>1</v>
      </c>
      <c r="E143" s="143" t="n">
        <v>4</v>
      </c>
      <c r="F143" s="143" t="n">
        <v>17</v>
      </c>
    </row>
    <row r="144" ht="15" customHeight="1" s="91">
      <c r="A144" s="144" t="n">
        <v>40</v>
      </c>
      <c r="B144" s="145" t="inlineStr">
        <is>
          <t>Technology, Operations &amp; Statistics</t>
        </is>
      </c>
      <c r="C144" s="144" t="n">
        <v>17</v>
      </c>
      <c r="D144" s="144" t="n">
        <v>1</v>
      </c>
      <c r="E144" s="144" t="n">
        <v>4</v>
      </c>
      <c r="F144" s="144" t="n">
        <v>17</v>
      </c>
    </row>
    <row r="145" ht="15" customHeight="1" s="91">
      <c r="A145" s="143" t="n">
        <v>41</v>
      </c>
      <c r="B145" s="140" t="inlineStr">
        <is>
          <t>Information &amp; Decision Sciences</t>
        </is>
      </c>
      <c r="C145" s="143" t="n">
        <v>16</v>
      </c>
      <c r="D145" s="143" t="n">
        <v>1</v>
      </c>
      <c r="E145" s="143" t="n">
        <v>4</v>
      </c>
      <c r="F145" s="143" t="n">
        <v>16</v>
      </c>
    </row>
    <row r="146" ht="15" customHeight="1" s="91">
      <c r="A146" s="144" t="n">
        <v>42</v>
      </c>
      <c r="B146" s="145" t="inlineStr">
        <is>
          <t>Work &amp; Organization Studies</t>
        </is>
      </c>
      <c r="C146" s="144" t="n">
        <v>15</v>
      </c>
      <c r="D146" s="144" t="n">
        <v>1</v>
      </c>
      <c r="E146" s="144" t="n">
        <v>4</v>
      </c>
      <c r="F146" s="144" t="n">
        <v>15</v>
      </c>
    </row>
    <row r="147" ht="15" customHeight="1" s="91">
      <c r="A147" s="143" t="n">
        <v>43</v>
      </c>
      <c r="B147" s="140" t="inlineStr">
        <is>
          <t>Decision Sciences</t>
        </is>
      </c>
      <c r="C147" s="143" t="n">
        <v>15</v>
      </c>
      <c r="D147" s="143" t="n">
        <v>2</v>
      </c>
      <c r="E147" s="143" t="n">
        <v>4</v>
      </c>
      <c r="F147" s="143" t="n">
        <v>7.5</v>
      </c>
    </row>
    <row r="148" ht="15" customHeight="1" s="91">
      <c r="A148" s="144" t="n">
        <v>44</v>
      </c>
      <c r="B148" s="145" t="inlineStr">
        <is>
          <t>Management Information Systems</t>
        </is>
      </c>
      <c r="C148" s="144" t="n">
        <v>15</v>
      </c>
      <c r="D148" s="144" t="n">
        <v>2</v>
      </c>
      <c r="E148" s="144" t="n">
        <v>4</v>
      </c>
      <c r="F148" s="144" t="n">
        <v>7.5</v>
      </c>
    </row>
    <row r="149" ht="15" customHeight="1" s="91">
      <c r="A149" s="143" t="n">
        <v>45</v>
      </c>
      <c r="B149" s="140" t="inlineStr">
        <is>
          <t>Finance &amp; Economics</t>
        </is>
      </c>
      <c r="C149" s="143" t="n">
        <v>15</v>
      </c>
      <c r="D149" s="143" t="n">
        <v>1</v>
      </c>
      <c r="E149" s="143" t="n">
        <v>4</v>
      </c>
      <c r="F149" s="143" t="n">
        <v>15</v>
      </c>
    </row>
    <row r="150" ht="15" customHeight="1" s="91">
      <c r="A150" s="144" t="n">
        <v>46</v>
      </c>
      <c r="B150" s="145" t="inlineStr">
        <is>
          <t>Econometrics &amp; Statistics</t>
        </is>
      </c>
      <c r="C150" s="144" t="n">
        <v>14</v>
      </c>
      <c r="D150" s="144" t="n">
        <v>1</v>
      </c>
      <c r="E150" s="144" t="n">
        <v>4</v>
      </c>
      <c r="F150" s="144" t="n">
        <v>14</v>
      </c>
    </row>
    <row r="151" ht="15" customHeight="1" s="91">
      <c r="A151" s="143" t="n">
        <v>47</v>
      </c>
      <c r="B151" s="140" t="inlineStr">
        <is>
          <t>Operations Research &amp; Statistics</t>
        </is>
      </c>
      <c r="C151" s="143" t="n">
        <v>14</v>
      </c>
      <c r="D151" s="143" t="n">
        <v>1</v>
      </c>
      <c r="E151" s="143" t="n">
        <v>4</v>
      </c>
      <c r="F151" s="143" t="n">
        <v>14</v>
      </c>
    </row>
    <row r="152" ht="15" customHeight="1" s="91">
      <c r="A152" s="144" t="n">
        <v>48</v>
      </c>
      <c r="B152" s="145" t="inlineStr">
        <is>
          <t>Management of Organizations</t>
        </is>
      </c>
      <c r="C152" s="144" t="n">
        <v>14</v>
      </c>
      <c r="D152" s="144" t="n">
        <v>1</v>
      </c>
      <c r="E152" s="144" t="n">
        <v>4</v>
      </c>
      <c r="F152" s="144" t="n">
        <v>14</v>
      </c>
    </row>
    <row r="153" ht="15" customHeight="1" s="91">
      <c r="A153" s="143" t="n">
        <v>49</v>
      </c>
      <c r="B153" s="140" t="inlineStr">
        <is>
          <t>Supply Chain &amp; Operations</t>
        </is>
      </c>
      <c r="C153" s="143" t="n">
        <v>14</v>
      </c>
      <c r="D153" s="143" t="n">
        <v>1</v>
      </c>
      <c r="E153" s="143" t="n">
        <v>4</v>
      </c>
      <c r="F153" s="143" t="n">
        <v>14</v>
      </c>
    </row>
    <row r="154" ht="15" customHeight="1" s="91">
      <c r="A154" s="144" t="n">
        <v>50</v>
      </c>
      <c r="B154" s="145" t="inlineStr">
        <is>
          <t>Management &amp; Human Resources</t>
        </is>
      </c>
      <c r="C154" s="144" t="n">
        <v>14</v>
      </c>
      <c r="D154" s="144" t="n">
        <v>2</v>
      </c>
      <c r="E154" s="144" t="n">
        <v>4</v>
      </c>
      <c r="F154" s="144" t="n">
        <v>7</v>
      </c>
    </row>
    <row r="155" ht="15" customHeight="1" s="91">
      <c r="A155" s="143" t="n">
        <v>51</v>
      </c>
      <c r="B155" s="140" t="inlineStr">
        <is>
          <t>Information Technology</t>
        </is>
      </c>
      <c r="C155" s="143" t="n">
        <v>13</v>
      </c>
      <c r="D155" s="143" t="n">
        <v>1</v>
      </c>
      <c r="E155" s="143" t="n">
        <v>4</v>
      </c>
      <c r="F155" s="143" t="n">
        <v>13</v>
      </c>
    </row>
    <row r="156" ht="15" customHeight="1" s="91">
      <c r="A156" s="144" t="n">
        <v>52</v>
      </c>
      <c r="B156" s="145" t="inlineStr">
        <is>
          <t>Business &amp; Public Policy</t>
        </is>
      </c>
      <c r="C156" s="144" t="n">
        <v>13</v>
      </c>
      <c r="D156" s="144" t="n">
        <v>1</v>
      </c>
      <c r="E156" s="144" t="n">
        <v>4</v>
      </c>
      <c r="F156" s="144" t="n">
        <v>13</v>
      </c>
    </row>
    <row r="157" ht="15" customHeight="1" s="91">
      <c r="A157" s="143" t="n">
        <v>53</v>
      </c>
      <c r="B157" s="140" t="inlineStr">
        <is>
          <t>Strategy &amp; Innovation</t>
        </is>
      </c>
      <c r="C157" s="143" t="n">
        <v>13</v>
      </c>
      <c r="D157" s="143" t="n">
        <v>2</v>
      </c>
      <c r="E157" s="143" t="n">
        <v>4</v>
      </c>
      <c r="F157" s="143" t="n">
        <v>6.5</v>
      </c>
    </row>
    <row r="158" ht="15" customHeight="1" s="91">
      <c r="A158" s="144" t="n">
        <v>54</v>
      </c>
      <c r="B158" s="145" t="inlineStr">
        <is>
          <t>Macroeconomics</t>
        </is>
      </c>
      <c r="C158" s="144" t="n">
        <v>12</v>
      </c>
      <c r="D158" s="144" t="n">
        <v>1</v>
      </c>
      <c r="E158" s="144" t="n">
        <v>4</v>
      </c>
      <c r="F158" s="144" t="n">
        <v>12</v>
      </c>
    </row>
    <row r="159" ht="15" customHeight="1" s="91">
      <c r="A159" s="143" t="n">
        <v>55</v>
      </c>
      <c r="B159" s="140" t="inlineStr">
        <is>
          <t>Information, Risk &amp; Operations Management</t>
        </is>
      </c>
      <c r="C159" s="143" t="n">
        <v>12</v>
      </c>
      <c r="D159" s="143" t="n">
        <v>1</v>
      </c>
      <c r="E159" s="143" t="n">
        <v>4</v>
      </c>
      <c r="F159" s="143" t="n">
        <v>12</v>
      </c>
    </row>
    <row r="160" ht="15" customHeight="1" s="91">
      <c r="A160" s="144" t="n">
        <v>56</v>
      </c>
      <c r="B160" s="145" t="inlineStr">
        <is>
          <t>Accounting (Leventhal)</t>
        </is>
      </c>
      <c r="C160" s="144" t="n">
        <v>12</v>
      </c>
      <c r="D160" s="144" t="n">
        <v>1</v>
      </c>
      <c r="E160" s="144" t="n">
        <v>4</v>
      </c>
      <c r="F160" s="144" t="n">
        <v>12</v>
      </c>
    </row>
    <row r="161" ht="15" customHeight="1" s="91">
      <c r="A161" s="143" t="n">
        <v>57</v>
      </c>
      <c r="B161" s="140" t="inlineStr">
        <is>
          <t>Analytics, Information Systems, Marketing &amp; Operations Management</t>
        </is>
      </c>
      <c r="C161" s="143" t="n">
        <v>12</v>
      </c>
      <c r="D161" s="143" t="n">
        <v>1</v>
      </c>
      <c r="E161" s="143" t="n">
        <v>4</v>
      </c>
      <c r="F161" s="143" t="n">
        <v>12</v>
      </c>
    </row>
    <row r="162" ht="15" customHeight="1" s="91">
      <c r="A162" s="144" t="n">
        <v>58</v>
      </c>
      <c r="B162" s="145" t="inlineStr">
        <is>
          <t>Technological Innovation, Entrepreneurship &amp; Strategic Management</t>
        </is>
      </c>
      <c r="C162" s="144" t="n">
        <v>11</v>
      </c>
      <c r="D162" s="144" t="n">
        <v>1</v>
      </c>
      <c r="E162" s="144" t="n">
        <v>4</v>
      </c>
      <c r="F162" s="144" t="n">
        <v>11</v>
      </c>
    </row>
    <row r="163" ht="15" customHeight="1" s="91">
      <c r="A163" s="143" t="n">
        <v>59</v>
      </c>
      <c r="B163" s="140" t="inlineStr">
        <is>
          <t>Operations, Information &amp; Technology</t>
        </is>
      </c>
      <c r="C163" s="143" t="n">
        <v>11</v>
      </c>
      <c r="D163" s="143" t="n">
        <v>1</v>
      </c>
      <c r="E163" s="143" t="n">
        <v>4</v>
      </c>
      <c r="F163" s="143" t="n">
        <v>11</v>
      </c>
    </row>
    <row r="164" ht="15" customHeight="1" s="91">
      <c r="A164" s="144" t="n">
        <v>60</v>
      </c>
      <c r="B164" s="145" t="inlineStr">
        <is>
          <t>Political Economy</t>
        </is>
      </c>
      <c r="C164" s="144" t="n">
        <v>11</v>
      </c>
      <c r="D164" s="144" t="n">
        <v>1</v>
      </c>
      <c r="E164" s="144" t="n">
        <v>4</v>
      </c>
      <c r="F164" s="144" t="n">
        <v>11</v>
      </c>
    </row>
    <row r="165" ht="15" customHeight="1" s="91">
      <c r="A165" s="143" t="n">
        <v>61</v>
      </c>
      <c r="B165" s="140" t="inlineStr">
        <is>
          <t>Business, Government &amp; Society</t>
        </is>
      </c>
      <c r="C165" s="143" t="n">
        <v>11</v>
      </c>
      <c r="D165" s="143" t="n">
        <v>1</v>
      </c>
      <c r="E165" s="143" t="n">
        <v>4</v>
      </c>
      <c r="F165" s="143" t="n">
        <v>11</v>
      </c>
    </row>
    <row r="166" ht="15" customHeight="1" s="91">
      <c r="A166" s="144" t="n">
        <v>62</v>
      </c>
      <c r="B166" s="145" t="inlineStr">
        <is>
          <t>Data Science &amp; Operations</t>
        </is>
      </c>
      <c r="C166" s="144" t="n">
        <v>11</v>
      </c>
      <c r="D166" s="144" t="n">
        <v>1</v>
      </c>
      <c r="E166" s="144" t="n">
        <v>4</v>
      </c>
      <c r="F166" s="144" t="n">
        <v>11</v>
      </c>
    </row>
    <row r="167" ht="15" customHeight="1" s="91">
      <c r="A167" s="143" t="n">
        <v>63</v>
      </c>
      <c r="B167" s="140" t="inlineStr">
        <is>
          <t>Entrepreneurship</t>
        </is>
      </c>
      <c r="C167" s="143" t="n">
        <v>10</v>
      </c>
      <c r="D167" s="143" t="n">
        <v>2</v>
      </c>
      <c r="E167" s="143" t="n">
        <v>4</v>
      </c>
      <c r="F167" s="143" t="n">
        <v>5</v>
      </c>
    </row>
    <row r="168" ht="15" customHeight="1" s="91">
      <c r="A168" s="144" t="n">
        <v>64</v>
      </c>
      <c r="B168" s="145" t="inlineStr">
        <is>
          <t>Accounting Information &amp; Management</t>
        </is>
      </c>
      <c r="C168" s="144" t="n">
        <v>10</v>
      </c>
      <c r="D168" s="144" t="n">
        <v>1</v>
      </c>
      <c r="E168" s="144" t="n">
        <v>4</v>
      </c>
      <c r="F168" s="144" t="n">
        <v>10</v>
      </c>
    </row>
    <row r="169" ht="15" customHeight="1" s="91">
      <c r="A169" s="143" t="n">
        <v>65</v>
      </c>
      <c r="B169" s="140" t="inlineStr">
        <is>
          <t>Global Economics &amp; Management</t>
        </is>
      </c>
      <c r="C169" s="143" t="n">
        <v>10</v>
      </c>
      <c r="D169" s="143" t="n">
        <v>2</v>
      </c>
      <c r="E169" s="143" t="n">
        <v>4</v>
      </c>
      <c r="F169" s="143" t="n">
        <v>5</v>
      </c>
    </row>
    <row r="170" ht="15" customHeight="1" s="91">
      <c r="A170" s="144" t="n">
        <v>66</v>
      </c>
      <c r="B170" s="145" t="inlineStr">
        <is>
          <t>IT Analytics &amp; Operations</t>
        </is>
      </c>
      <c r="C170" s="144" t="n">
        <v>10</v>
      </c>
      <c r="D170" s="144" t="n">
        <v>1</v>
      </c>
      <c r="E170" s="144" t="n">
        <v>4</v>
      </c>
      <c r="F170" s="144" t="n">
        <v>10</v>
      </c>
    </row>
    <row r="171" ht="15" customHeight="1" s="91">
      <c r="A171" s="143" t="n">
        <v>67</v>
      </c>
      <c r="B171" s="140" t="inlineStr">
        <is>
          <t>Organizational Behavior &amp; Human Resource Management</t>
        </is>
      </c>
      <c r="C171" s="143" t="n">
        <v>10</v>
      </c>
      <c r="D171" s="143" t="n">
        <v>1</v>
      </c>
      <c r="E171" s="143" t="n">
        <v>4</v>
      </c>
      <c r="F171" s="143" t="n">
        <v>10</v>
      </c>
    </row>
    <row r="172" ht="15" customHeight="1" s="91">
      <c r="A172" s="144" t="n">
        <v>68</v>
      </c>
      <c r="B172" s="145" t="inlineStr">
        <is>
          <t>International Business</t>
        </is>
      </c>
      <c r="C172" s="144" t="n">
        <v>10</v>
      </c>
      <c r="D172" s="144" t="n">
        <v>1</v>
      </c>
      <c r="E172" s="144" t="n">
        <v>4</v>
      </c>
      <c r="F172" s="144" t="n">
        <v>10</v>
      </c>
    </row>
    <row r="173" ht="15" customHeight="1" s="91">
      <c r="A173" s="143" t="n">
        <v>69</v>
      </c>
      <c r="B173" s="140" t="inlineStr">
        <is>
          <t>Strategic Management &amp; Public Policy</t>
        </is>
      </c>
      <c r="C173" s="143" t="n">
        <v>10</v>
      </c>
      <c r="D173" s="143" t="n">
        <v>1</v>
      </c>
      <c r="E173" s="143" t="n">
        <v>4</v>
      </c>
      <c r="F173" s="143" t="n">
        <v>10</v>
      </c>
    </row>
    <row r="174" ht="15" customHeight="1" s="91">
      <c r="A174" s="144" t="n">
        <v>70</v>
      </c>
      <c r="B174" s="145" t="inlineStr">
        <is>
          <t>Strategy, Ethics &amp; Entrepreneurship</t>
        </is>
      </c>
      <c r="C174" s="144" t="n">
        <v>9</v>
      </c>
      <c r="D174" s="144" t="n">
        <v>1</v>
      </c>
      <c r="E174" s="144" t="n">
        <v>4</v>
      </c>
      <c r="F174" s="144" t="n">
        <v>9</v>
      </c>
    </row>
    <row r="175" ht="15" customHeight="1" s="91">
      <c r="A175" s="143" t="n">
        <v>71</v>
      </c>
      <c r="B175" s="140" t="inlineStr">
        <is>
          <t>Economics &amp; Strategy</t>
        </is>
      </c>
      <c r="C175" s="143" t="n">
        <v>9</v>
      </c>
      <c r="D175" s="143" t="n">
        <v>1</v>
      </c>
      <c r="E175" s="143" t="n">
        <v>4</v>
      </c>
      <c r="F175" s="143" t="n">
        <v>9</v>
      </c>
    </row>
    <row r="176" ht="15" customHeight="1" s="91">
      <c r="A176" s="144" t="n">
        <v>72</v>
      </c>
      <c r="B176" s="145" t="inlineStr">
        <is>
          <t>Organization &amp; Strategic Management</t>
        </is>
      </c>
      <c r="C176" s="144" t="n">
        <v>9</v>
      </c>
      <c r="D176" s="144" t="n">
        <v>1</v>
      </c>
      <c r="E176" s="144" t="n">
        <v>4</v>
      </c>
      <c r="F176" s="144" t="n">
        <v>9</v>
      </c>
    </row>
    <row r="177" ht="15" customHeight="1" s="91">
      <c r="A177" s="143" t="n">
        <v>73</v>
      </c>
      <c r="B177" s="140" t="inlineStr">
        <is>
          <t>Information &amp; Operations Management</t>
        </is>
      </c>
      <c r="C177" s="143" t="n">
        <v>9</v>
      </c>
      <c r="D177" s="143" t="n">
        <v>1</v>
      </c>
      <c r="E177" s="143" t="n">
        <v>4</v>
      </c>
      <c r="F177" s="143" t="n">
        <v>9</v>
      </c>
    </row>
    <row r="178" ht="15" customHeight="1" s="91">
      <c r="A178" s="144" t="n">
        <v>74</v>
      </c>
      <c r="B178" s="145" t="inlineStr">
        <is>
          <t>Quantitative Methods</t>
        </is>
      </c>
      <c r="C178" s="144" t="n">
        <v>9</v>
      </c>
      <c r="D178" s="144" t="n">
        <v>1</v>
      </c>
      <c r="E178" s="144" t="n">
        <v>4</v>
      </c>
      <c r="F178" s="144" t="n">
        <v>9</v>
      </c>
    </row>
    <row r="179" ht="15" customHeight="1" s="91">
      <c r="A179" s="143" t="n">
        <v>75</v>
      </c>
      <c r="B179" s="140" t="inlineStr">
        <is>
          <t>Markets, Public Policy &amp; Law</t>
        </is>
      </c>
      <c r="C179" s="143" t="n">
        <v>9</v>
      </c>
      <c r="D179" s="143" t="n">
        <v>1</v>
      </c>
      <c r="E179" s="143" t="n">
        <v>4</v>
      </c>
      <c r="F179" s="143" t="n">
        <v>9</v>
      </c>
    </row>
    <row r="180" ht="15" customHeight="1" s="91">
      <c r="A180" s="144" t="n">
        <v>76</v>
      </c>
      <c r="B180" s="145" t="inlineStr">
        <is>
          <t>Operations &amp; Technology Management</t>
        </is>
      </c>
      <c r="C180" s="144" t="n">
        <v>9</v>
      </c>
      <c r="D180" s="144" t="n">
        <v>1</v>
      </c>
      <c r="E180" s="144" t="n">
        <v>4</v>
      </c>
      <c r="F180" s="144" t="n">
        <v>9</v>
      </c>
    </row>
    <row r="181" ht="15" customHeight="1" s="91">
      <c r="A181" s="143" t="n">
        <v>77</v>
      </c>
      <c r="B181" s="140" t="inlineStr">
        <is>
          <t>Finance, Insurance &amp; Real Estate</t>
        </is>
      </c>
      <c r="C181" s="143" t="n">
        <v>9</v>
      </c>
      <c r="D181" s="143" t="n">
        <v>1</v>
      </c>
      <c r="E181" s="143" t="n">
        <v>4</v>
      </c>
      <c r="F181" s="143" t="n">
        <v>9</v>
      </c>
    </row>
    <row r="182" ht="15" customHeight="1" s="91">
      <c r="A182" s="144" t="n">
        <v>78</v>
      </c>
      <c r="B182" s="145" t="inlineStr">
        <is>
          <t>Marketing &amp; International Business</t>
        </is>
      </c>
      <c r="C182" s="144" t="n">
        <v>9</v>
      </c>
      <c r="D182" s="144" t="n">
        <v>1</v>
      </c>
      <c r="E182" s="144" t="n">
        <v>4</v>
      </c>
      <c r="F182" s="144" t="n">
        <v>9</v>
      </c>
    </row>
    <row r="183" ht="15" customHeight="1" s="91">
      <c r="A183" s="143" t="n">
        <v>79</v>
      </c>
      <c r="B183" s="140" t="inlineStr">
        <is>
          <t>Information Systems &amp; Technology</t>
        </is>
      </c>
      <c r="C183" s="143" t="n">
        <v>9</v>
      </c>
      <c r="D183" s="143" t="n">
        <v>1</v>
      </c>
      <c r="E183" s="143" t="n">
        <v>4</v>
      </c>
      <c r="F183" s="143" t="n">
        <v>9</v>
      </c>
    </row>
    <row r="184" ht="15" customHeight="1" s="91">
      <c r="A184" s="144" t="n">
        <v>80</v>
      </c>
      <c r="B184" s="145" t="inlineStr">
        <is>
          <t>Economics &amp; Management</t>
        </is>
      </c>
      <c r="C184" s="144" t="n">
        <v>9</v>
      </c>
      <c r="D184" s="144" t="n">
        <v>1</v>
      </c>
      <c r="E184" s="144" t="n">
        <v>4</v>
      </c>
      <c r="F184" s="144" t="n">
        <v>9</v>
      </c>
    </row>
    <row r="185" ht="15" customHeight="1" s="91">
      <c r="A185" s="143" t="n">
        <v>81</v>
      </c>
      <c r="B185" s="140" t="inlineStr">
        <is>
          <t>Human Resource Management</t>
        </is>
      </c>
      <c r="C185" s="143" t="n">
        <v>9</v>
      </c>
      <c r="D185" s="143" t="n">
        <v>1</v>
      </c>
      <c r="E185" s="143" t="n">
        <v>4</v>
      </c>
      <c r="F185" s="143" t="n">
        <v>9</v>
      </c>
    </row>
    <row r="186" ht="15" customHeight="1" s="91">
      <c r="A186" s="144" t="n">
        <v>82</v>
      </c>
      <c r="B186" s="145" t="inlineStr">
        <is>
          <t>Marketing &amp; Supply Chain Management</t>
        </is>
      </c>
      <c r="C186" s="144" t="n">
        <v>9</v>
      </c>
      <c r="D186" s="144" t="n">
        <v>1</v>
      </c>
      <c r="E186" s="144" t="n">
        <v>4</v>
      </c>
      <c r="F186" s="144" t="n">
        <v>9</v>
      </c>
    </row>
    <row r="187" ht="15" customHeight="1" s="91">
      <c r="A187" s="143" t="n">
        <v>83</v>
      </c>
      <c r="B187" s="140" t="inlineStr">
        <is>
          <t>Risk, Insurance &amp; Healthcare Management</t>
        </is>
      </c>
      <c r="C187" s="143" t="n">
        <v>9</v>
      </c>
      <c r="D187" s="143" t="n">
        <v>1</v>
      </c>
      <c r="E187" s="143" t="n">
        <v>4</v>
      </c>
      <c r="F187" s="143" t="n">
        <v>9</v>
      </c>
    </row>
    <row r="188" ht="15" customHeight="1" s="91">
      <c r="A188" s="144" t="n">
        <v>84</v>
      </c>
      <c r="B188" s="145" t="inlineStr">
        <is>
          <t>Data Analytics &amp; Decision Sciences</t>
        </is>
      </c>
      <c r="C188" s="144" t="n">
        <v>8</v>
      </c>
      <c r="D188" s="144" t="n">
        <v>1</v>
      </c>
      <c r="E188" s="144" t="n">
        <v>4</v>
      </c>
      <c r="F188" s="144" t="n">
        <v>8</v>
      </c>
    </row>
    <row r="189" ht="15" customHeight="1" s="91">
      <c r="A189" s="143" t="n">
        <v>85</v>
      </c>
      <c r="B189" s="140" t="inlineStr">
        <is>
          <t>Global Economies &amp; Markets</t>
        </is>
      </c>
      <c r="C189" s="143" t="n">
        <v>8</v>
      </c>
      <c r="D189" s="143" t="n">
        <v>1</v>
      </c>
      <c r="E189" s="143" t="n">
        <v>4</v>
      </c>
      <c r="F189" s="143" t="n">
        <v>8</v>
      </c>
    </row>
    <row r="190" ht="15" customHeight="1" s="91">
      <c r="A190" s="144" t="n">
        <v>86</v>
      </c>
      <c r="B190" s="145" t="inlineStr">
        <is>
          <t>Leadership &amp; Organizational Behavior</t>
        </is>
      </c>
      <c r="C190" s="144" t="n">
        <v>8</v>
      </c>
      <c r="D190" s="144" t="n">
        <v>1</v>
      </c>
      <c r="E190" s="144" t="n">
        <v>4</v>
      </c>
      <c r="F190" s="144" t="n">
        <v>8</v>
      </c>
    </row>
    <row r="191" ht="15" customHeight="1" s="91">
      <c r="A191" s="143" t="n">
        <v>87</v>
      </c>
      <c r="B191" s="140" t="inlineStr">
        <is>
          <t>Technology &amp; Operations</t>
        </is>
      </c>
      <c r="C191" s="143" t="n">
        <v>8</v>
      </c>
      <c r="D191" s="143" t="n">
        <v>1</v>
      </c>
      <c r="E191" s="143" t="n">
        <v>4</v>
      </c>
      <c r="F191" s="143" t="n">
        <v>8</v>
      </c>
    </row>
    <row r="192" ht="15" customHeight="1" s="91">
      <c r="A192" s="144" t="n">
        <v>88</v>
      </c>
      <c r="B192" s="145" t="inlineStr">
        <is>
          <t>Organization &amp; Management</t>
        </is>
      </c>
      <c r="C192" s="144" t="n">
        <v>8</v>
      </c>
      <c r="D192" s="144" t="n">
        <v>1</v>
      </c>
      <c r="E192" s="144" t="n">
        <v>4</v>
      </c>
      <c r="F192" s="144" t="n">
        <v>8</v>
      </c>
    </row>
    <row r="193" ht="15" customHeight="1" s="91">
      <c r="A193" s="143" t="n">
        <v>89</v>
      </c>
      <c r="B193" s="140" t="inlineStr">
        <is>
          <t>Supply Chain, Operations &amp; Technology</t>
        </is>
      </c>
      <c r="C193" s="143" t="n">
        <v>8</v>
      </c>
      <c r="D193" s="143" t="n">
        <v>1</v>
      </c>
      <c r="E193" s="143" t="n">
        <v>4</v>
      </c>
      <c r="F193" s="143" t="n">
        <v>8</v>
      </c>
    </row>
    <row r="194" ht="15" customHeight="1" s="91">
      <c r="A194" s="144" t="n">
        <v>90</v>
      </c>
      <c r="B194" s="145" t="inlineStr">
        <is>
          <t>Accounting &amp; Business Law</t>
        </is>
      </c>
      <c r="C194" s="144" t="n">
        <v>8</v>
      </c>
      <c r="D194" s="144" t="n">
        <v>1</v>
      </c>
      <c r="E194" s="144" t="n">
        <v>4</v>
      </c>
      <c r="F194" s="144" t="n">
        <v>8</v>
      </c>
    </row>
    <row r="195" ht="15" customHeight="1" s="91">
      <c r="A195" s="143" t="n">
        <v>91</v>
      </c>
      <c r="B195" s="140" t="inlineStr">
        <is>
          <t>Management Sciences</t>
        </is>
      </c>
      <c r="C195" s="143" t="n">
        <v>8</v>
      </c>
      <c r="D195" s="143" t="n">
        <v>1</v>
      </c>
      <c r="E195" s="143" t="n">
        <v>4</v>
      </c>
      <c r="F195" s="143" t="n">
        <v>8</v>
      </c>
    </row>
    <row r="196" ht="15" customHeight="1" s="91">
      <c r="A196" s="144" t="n">
        <v>92</v>
      </c>
      <c r="B196" s="145" t="inlineStr">
        <is>
          <t>Marketing &amp; Logistics</t>
        </is>
      </c>
      <c r="C196" s="144" t="n">
        <v>8</v>
      </c>
      <c r="D196" s="144" t="n">
        <v>1</v>
      </c>
      <c r="E196" s="144" t="n">
        <v>4</v>
      </c>
      <c r="F196" s="144" t="n">
        <v>8</v>
      </c>
    </row>
    <row r="197" ht="15" customHeight="1" s="91">
      <c r="A197" s="143" t="n">
        <v>93</v>
      </c>
      <c r="B197" s="140" t="inlineStr">
        <is>
          <t>Business Management</t>
        </is>
      </c>
      <c r="C197" s="143" t="n">
        <v>8</v>
      </c>
      <c r="D197" s="143" t="n">
        <v>1</v>
      </c>
      <c r="E197" s="143" t="n">
        <v>4</v>
      </c>
      <c r="F197" s="143" t="n">
        <v>8</v>
      </c>
    </row>
    <row r="198" ht="15" customHeight="1" s="91">
      <c r="A198" s="144" t="n">
        <v>94</v>
      </c>
      <c r="B198" s="145" t="inlineStr">
        <is>
          <t>Experience Design &amp; Management</t>
        </is>
      </c>
      <c r="C198" s="144" t="n">
        <v>8</v>
      </c>
      <c r="D198" s="144" t="n">
        <v>1</v>
      </c>
      <c r="E198" s="144" t="n">
        <v>4</v>
      </c>
      <c r="F198" s="144" t="n">
        <v>8</v>
      </c>
    </row>
    <row r="199" ht="15" customHeight="1" s="91">
      <c r="A199" s="143" t="n">
        <v>95</v>
      </c>
      <c r="B199" s="140" t="inlineStr">
        <is>
          <t>Global Supply Chain Management</t>
        </is>
      </c>
      <c r="C199" s="143" t="n">
        <v>8</v>
      </c>
      <c r="D199" s="143" t="n">
        <v>1</v>
      </c>
      <c r="E199" s="143" t="n">
        <v>4</v>
      </c>
      <c r="F199" s="143" t="n">
        <v>8</v>
      </c>
    </row>
    <row r="200" ht="15" customHeight="1" s="91">
      <c r="A200" s="144" t="n">
        <v>96</v>
      </c>
      <c r="B200" s="145" t="inlineStr">
        <is>
          <t>Organizational Leadership &amp; Strategy</t>
        </is>
      </c>
      <c r="C200" s="144" t="n">
        <v>8</v>
      </c>
      <c r="D200" s="144" t="n">
        <v>1</v>
      </c>
      <c r="E200" s="144" t="n">
        <v>4</v>
      </c>
      <c r="F200" s="144" t="n">
        <v>8</v>
      </c>
    </row>
    <row r="201" ht="15" customHeight="1" s="91">
      <c r="A201" s="143" t="n">
        <v>97</v>
      </c>
      <c r="B201" s="140" t="inlineStr">
        <is>
          <t>Legal Studies in Business</t>
        </is>
      </c>
      <c r="C201" s="143" t="n">
        <v>8</v>
      </c>
      <c r="D201" s="143" t="n">
        <v>1</v>
      </c>
      <c r="E201" s="143" t="n">
        <v>4</v>
      </c>
      <c r="F201" s="143" t="n">
        <v>8</v>
      </c>
    </row>
    <row r="202" ht="15" customHeight="1" s="91">
      <c r="A202" s="144" t="n">
        <v>98</v>
      </c>
      <c r="B202" s="145" t="inlineStr">
        <is>
          <t>Statistical Science</t>
        </is>
      </c>
      <c r="C202" s="144" t="n">
        <v>8</v>
      </c>
      <c r="D202" s="144" t="n">
        <v>1</v>
      </c>
      <c r="E202" s="144" t="n">
        <v>4</v>
      </c>
      <c r="F202" s="144" t="n">
        <v>8</v>
      </c>
    </row>
    <row r="203" ht="15" customHeight="1" s="91">
      <c r="A203" s="143" t="n">
        <v>99</v>
      </c>
      <c r="B203" s="140" t="inlineStr">
        <is>
          <t>Management Science</t>
        </is>
      </c>
      <c r="C203" s="143" t="n">
        <v>8</v>
      </c>
      <c r="D203" s="143" t="n">
        <v>1</v>
      </c>
      <c r="E203" s="143" t="n">
        <v>4</v>
      </c>
      <c r="F203" s="143" t="n">
        <v>8</v>
      </c>
    </row>
    <row r="204" ht="15" customHeight="1" s="91">
      <c r="A204" s="144" t="n">
        <v>100</v>
      </c>
      <c r="B204" s="145" t="inlineStr">
        <is>
          <t>Operations &amp; Analytics</t>
        </is>
      </c>
      <c r="C204" s="144" t="n">
        <v>7</v>
      </c>
      <c r="D204" s="144" t="n">
        <v>1</v>
      </c>
      <c r="E204" s="144" t="n">
        <v>4</v>
      </c>
      <c r="F204" s="144" t="n">
        <v>7</v>
      </c>
    </row>
    <row r="205" ht="15" customHeight="1" s="91">
      <c r="A205" s="143" t="n">
        <v>101</v>
      </c>
      <c r="B205" s="140" t="inlineStr">
        <is>
          <t>Business Law &amp; Ethics</t>
        </is>
      </c>
      <c r="C205" s="143" t="n">
        <v>7</v>
      </c>
      <c r="D205" s="143" t="n">
        <v>1</v>
      </c>
      <c r="E205" s="143" t="n">
        <v>4</v>
      </c>
      <c r="F205" s="143" t="n">
        <v>7</v>
      </c>
    </row>
    <row r="206" ht="15" customHeight="1" s="91">
      <c r="A206" s="144" t="n">
        <v>102</v>
      </c>
      <c r="B206" s="145" t="inlineStr">
        <is>
          <t>Management &amp; Corporate Communication</t>
        </is>
      </c>
      <c r="C206" s="144" t="n">
        <v>7</v>
      </c>
      <c r="D206" s="144" t="n">
        <v>1</v>
      </c>
      <c r="E206" s="144" t="n">
        <v>4</v>
      </c>
      <c r="F206" s="144" t="n">
        <v>7</v>
      </c>
    </row>
    <row r="207" ht="15" customHeight="1" s="91">
      <c r="A207" s="143" t="n">
        <v>103</v>
      </c>
      <c r="B207" s="140" t="inlineStr">
        <is>
          <t>Strategy &amp; Entrepreneurship</t>
        </is>
      </c>
      <c r="C207" s="143" t="n">
        <v>7</v>
      </c>
      <c r="D207" s="143" t="n">
        <v>1</v>
      </c>
      <c r="E207" s="143" t="n">
        <v>4</v>
      </c>
      <c r="F207" s="143" t="n">
        <v>7</v>
      </c>
    </row>
    <row r="208" ht="15" customHeight="1" s="91">
      <c r="A208" s="144" t="n">
        <v>104</v>
      </c>
      <c r="B208" s="145" t="inlineStr">
        <is>
          <t>Accounting &amp; Management Information Systems</t>
        </is>
      </c>
      <c r="C208" s="144" t="n">
        <v>7</v>
      </c>
      <c r="D208" s="144" t="n">
        <v>1</v>
      </c>
      <c r="E208" s="144" t="n">
        <v>4</v>
      </c>
      <c r="F208" s="144" t="n">
        <v>7</v>
      </c>
    </row>
    <row r="209" ht="15" customHeight="1" s="91">
      <c r="A209" s="143" t="n">
        <v>105</v>
      </c>
      <c r="B209" s="140" t="inlineStr">
        <is>
          <t>Supply Chain Management</t>
        </is>
      </c>
      <c r="C209" s="143" t="n">
        <v>7</v>
      </c>
      <c r="D209" s="143" t="n">
        <v>1</v>
      </c>
      <c r="E209" s="143" t="n">
        <v>4</v>
      </c>
      <c r="F209" s="143" t="n">
        <v>7</v>
      </c>
    </row>
    <row r="210" ht="15" customHeight="1" s="91">
      <c r="A210" s="144" t="n">
        <v>106</v>
      </c>
      <c r="B210" s="145" t="inlineStr">
        <is>
          <t>Finance, Investment &amp; Banking</t>
        </is>
      </c>
      <c r="C210" s="144" t="n">
        <v>7</v>
      </c>
      <c r="D210" s="144" t="n">
        <v>1</v>
      </c>
      <c r="E210" s="144" t="n">
        <v>4</v>
      </c>
      <c r="F210" s="144" t="n">
        <v>7</v>
      </c>
    </row>
    <row r="211" ht="15" customHeight="1" s="91">
      <c r="A211" s="143" t="n">
        <v>107</v>
      </c>
      <c r="B211" s="140" t="inlineStr">
        <is>
          <t>Accounting (Fisher School)</t>
        </is>
      </c>
      <c r="C211" s="143" t="n">
        <v>7</v>
      </c>
      <c r="D211" s="143" t="n">
        <v>1</v>
      </c>
      <c r="E211" s="143" t="n">
        <v>4</v>
      </c>
      <c r="F211" s="143" t="n">
        <v>7</v>
      </c>
    </row>
    <row r="212" ht="15" customHeight="1" s="91">
      <c r="A212" s="144" t="n">
        <v>108</v>
      </c>
      <c r="B212" s="145" t="inlineStr">
        <is>
          <t>Business Analytics &amp; Operations</t>
        </is>
      </c>
      <c r="C212" s="144" t="n">
        <v>7</v>
      </c>
      <c r="D212" s="144" t="n">
        <v>1</v>
      </c>
      <c r="E212" s="144" t="n">
        <v>4</v>
      </c>
      <c r="F212" s="144" t="n">
        <v>7</v>
      </c>
    </row>
    <row r="213" ht="15" customHeight="1" s="91">
      <c r="A213" s="143" t="n">
        <v>109</v>
      </c>
      <c r="B213" s="140" t="inlineStr">
        <is>
          <t>Information Systems &amp; Technology Management</t>
        </is>
      </c>
      <c r="C213" s="143" t="n">
        <v>7</v>
      </c>
      <c r="D213" s="143" t="n">
        <v>1</v>
      </c>
      <c r="E213" s="143" t="n">
        <v>4</v>
      </c>
      <c r="F213" s="143" t="n">
        <v>7</v>
      </c>
    </row>
    <row r="214" ht="15" customHeight="1" s="91">
      <c r="A214" s="144" t="n">
        <v>110</v>
      </c>
      <c r="B214" s="145" t="inlineStr">
        <is>
          <t>Organizational Behavior &amp; Human Resources</t>
        </is>
      </c>
      <c r="C214" s="144" t="n">
        <v>7</v>
      </c>
      <c r="D214" s="144" t="n">
        <v>1</v>
      </c>
      <c r="E214" s="144" t="n">
        <v>4</v>
      </c>
      <c r="F214" s="144" t="n">
        <v>7</v>
      </c>
    </row>
    <row r="215" ht="15" customHeight="1" s="91">
      <c r="A215" s="143" t="n">
        <v>111</v>
      </c>
      <c r="B215" s="140" t="inlineStr">
        <is>
          <t>Management &amp; Organizational Development</t>
        </is>
      </c>
      <c r="C215" s="143" t="n">
        <v>7</v>
      </c>
      <c r="D215" s="143" t="n">
        <v>1</v>
      </c>
      <c r="E215" s="143" t="n">
        <v>4</v>
      </c>
      <c r="F215" s="143" t="n">
        <v>7</v>
      </c>
    </row>
    <row r="216" ht="15" customHeight="1" s="91">
      <c r="A216" s="144" t="n">
        <v>112</v>
      </c>
      <c r="B216" s="145" t="inlineStr">
        <is>
          <t>Supply Chain &amp; Operations Management</t>
        </is>
      </c>
      <c r="C216" s="144" t="n">
        <v>7</v>
      </c>
      <c r="D216" s="144" t="n">
        <v>1</v>
      </c>
      <c r="E216" s="144" t="n">
        <v>4</v>
      </c>
      <c r="F216" s="144" t="n">
        <v>7</v>
      </c>
    </row>
    <row r="217" ht="15" customHeight="1" s="91">
      <c r="A217" s="143" t="n">
        <v>113</v>
      </c>
      <c r="B217" s="140" t="inlineStr">
        <is>
          <t>Business Analytics</t>
        </is>
      </c>
      <c r="C217" s="143" t="n">
        <v>7</v>
      </c>
      <c r="D217" s="143" t="n">
        <v>1</v>
      </c>
      <c r="E217" s="143" t="n">
        <v>4</v>
      </c>
      <c r="F217" s="143" t="n">
        <v>7</v>
      </c>
    </row>
    <row r="218" ht="15" customHeight="1" s="91">
      <c r="A218" s="144" t="n">
        <v>114</v>
      </c>
      <c r="B218" s="145" t="inlineStr">
        <is>
          <t>Business Law</t>
        </is>
      </c>
      <c r="C218" s="144" t="n">
        <v>7</v>
      </c>
      <c r="D218" s="144" t="n">
        <v>1</v>
      </c>
      <c r="E218" s="144" t="n">
        <v>4</v>
      </c>
      <c r="F218" s="144" t="n">
        <v>7</v>
      </c>
    </row>
    <row r="219" ht="15" customHeight="1" s="91">
      <c r="A219" s="143" t="n">
        <v>115</v>
      </c>
      <c r="B219" s="140" t="inlineStr">
        <is>
          <t>Business Technology</t>
        </is>
      </c>
      <c r="C219" s="143" t="n">
        <v>7</v>
      </c>
      <c r="D219" s="143" t="n">
        <v>1</v>
      </c>
      <c r="E219" s="143" t="n">
        <v>4</v>
      </c>
      <c r="F219" s="143" t="n">
        <v>7</v>
      </c>
    </row>
    <row r="220" ht="15" customHeight="1" s="91">
      <c r="A220" s="144" t="n">
        <v>116</v>
      </c>
      <c r="B220" s="145" t="inlineStr">
        <is>
          <t>Strategy &amp; Business Economics</t>
        </is>
      </c>
      <c r="C220" s="144" t="n">
        <v>6</v>
      </c>
      <c r="D220" s="144" t="n">
        <v>1</v>
      </c>
      <c r="E220" s="144" t="n">
        <v>4</v>
      </c>
      <c r="F220" s="144" t="n">
        <v>6</v>
      </c>
    </row>
    <row r="221" ht="15" customHeight="1" s="91">
      <c r="A221" s="143" t="n">
        <v>117</v>
      </c>
      <c r="B221" s="140" t="inlineStr">
        <is>
          <t>Organizational Behavior &amp; Theory</t>
        </is>
      </c>
      <c r="C221" s="143" t="n">
        <v>6</v>
      </c>
      <c r="D221" s="143" t="n">
        <v>1</v>
      </c>
      <c r="E221" s="143" t="n">
        <v>4</v>
      </c>
      <c r="F221" s="143" t="n">
        <v>6</v>
      </c>
    </row>
    <row r="222" ht="15" customHeight="1" s="91">
      <c r="A222" s="144" t="n">
        <v>118</v>
      </c>
      <c r="B222" s="145" t="inlineStr">
        <is>
          <t>Risk Management</t>
        </is>
      </c>
      <c r="C222" s="144" t="n">
        <v>6</v>
      </c>
      <c r="D222" s="144" t="n">
        <v>1</v>
      </c>
      <c r="E222" s="144" t="n">
        <v>4</v>
      </c>
      <c r="F222" s="144" t="n">
        <v>6</v>
      </c>
    </row>
    <row r="223" ht="15" customHeight="1" s="91">
      <c r="A223" s="143" t="n">
        <v>119</v>
      </c>
      <c r="B223" s="140" t="inlineStr">
        <is>
          <t>Supply Chain &amp; Information Systems</t>
        </is>
      </c>
      <c r="C223" s="143" t="n">
        <v>6</v>
      </c>
      <c r="D223" s="143" t="n">
        <v>1</v>
      </c>
      <c r="E223" s="143" t="n">
        <v>4</v>
      </c>
      <c r="F223" s="143" t="n">
        <v>6</v>
      </c>
    </row>
    <row r="224" ht="15" customHeight="1" s="91">
      <c r="A224" s="144" t="n">
        <v>120</v>
      </c>
      <c r="B224" s="145" t="inlineStr">
        <is>
          <t>Operations &amp; Information Management</t>
        </is>
      </c>
      <c r="C224" s="144" t="n">
        <v>6</v>
      </c>
      <c r="D224" s="144" t="n">
        <v>1</v>
      </c>
      <c r="E224" s="144" t="n">
        <v>4</v>
      </c>
      <c r="F224" s="144" t="n">
        <v>6</v>
      </c>
    </row>
    <row r="225" ht="15" customHeight="1" s="91">
      <c r="A225" s="143" t="n">
        <v>121</v>
      </c>
      <c r="B225" s="140" t="inlineStr">
        <is>
          <t>Real Estate &amp; Urban Land Economics</t>
        </is>
      </c>
      <c r="C225" s="143" t="n">
        <v>6</v>
      </c>
      <c r="D225" s="143" t="n">
        <v>1</v>
      </c>
      <c r="E225" s="143" t="n">
        <v>4</v>
      </c>
      <c r="F225" s="143" t="n">
        <v>6</v>
      </c>
    </row>
    <row r="226" ht="15" customHeight="1" s="91">
      <c r="A226" s="144" t="n">
        <v>122</v>
      </c>
      <c r="B226" s="145" t="inlineStr">
        <is>
          <t>Risk &amp; Insurance</t>
        </is>
      </c>
      <c r="C226" s="144" t="n">
        <v>6</v>
      </c>
      <c r="D226" s="144" t="n">
        <v>1</v>
      </c>
      <c r="E226" s="144" t="n">
        <v>4</v>
      </c>
      <c r="F226" s="144" t="n">
        <v>6</v>
      </c>
    </row>
    <row r="227" ht="15" customHeight="1" s="91">
      <c r="A227" s="143" t="n">
        <v>123</v>
      </c>
      <c r="B227" s="140" t="inlineStr">
        <is>
          <t>Information Technology &amp; Operations Management</t>
        </is>
      </c>
      <c r="C227" s="143" t="n">
        <v>6</v>
      </c>
      <c r="D227" s="143" t="n">
        <v>1</v>
      </c>
      <c r="E227" s="143" t="n">
        <v>4</v>
      </c>
      <c r="F227" s="143" t="n">
        <v>6</v>
      </c>
    </row>
    <row r="228" ht="15" customHeight="1" s="91">
      <c r="A228" s="144" t="n">
        <v>124</v>
      </c>
      <c r="B228" s="145" t="inlineStr">
        <is>
          <t>Management, Strategy &amp; Entrepreneurship</t>
        </is>
      </c>
      <c r="C228" s="144" t="n">
        <v>6</v>
      </c>
      <c r="D228" s="144" t="n">
        <v>1</v>
      </c>
      <c r="E228" s="144" t="n">
        <v>4</v>
      </c>
      <c r="F228" s="144" t="n">
        <v>6</v>
      </c>
    </row>
    <row r="229" ht="15" customHeight="1" s="91">
      <c r="A229" s="143" t="n">
        <v>125</v>
      </c>
      <c r="B229" s="140" t="inlineStr">
        <is>
          <t>System Dynamics</t>
        </is>
      </c>
      <c r="C229" s="143" t="n">
        <v>5</v>
      </c>
      <c r="D229" s="143" t="n">
        <v>1</v>
      </c>
      <c r="E229" s="143" t="n">
        <v>4</v>
      </c>
      <c r="F229" s="143" t="n">
        <v>5</v>
      </c>
    </row>
    <row r="230" ht="15" customHeight="1" s="91">
      <c r="A230" s="144" t="n">
        <v>126</v>
      </c>
      <c r="B230" s="145" t="inlineStr">
        <is>
          <t>Operations Management &amp; Management Science</t>
        </is>
      </c>
      <c r="C230" s="144" t="n">
        <v>5</v>
      </c>
      <c r="D230" s="144" t="n">
        <v>1</v>
      </c>
      <c r="E230" s="144" t="n">
        <v>4</v>
      </c>
      <c r="F230" s="144" t="n">
        <v>5</v>
      </c>
    </row>
    <row r="231" ht="15" customHeight="1" s="91">
      <c r="A231" s="143" t="n">
        <v>127</v>
      </c>
      <c r="B231" s="140" t="inlineStr">
        <is>
          <t>Applied Economics &amp; Policy</t>
        </is>
      </c>
      <c r="C231" s="143" t="n">
        <v>5</v>
      </c>
      <c r="D231" s="143" t="n">
        <v>1</v>
      </c>
      <c r="E231" s="143" t="n">
        <v>4</v>
      </c>
      <c r="F231" s="143" t="n">
        <v>5</v>
      </c>
    </row>
    <row r="232" ht="15" customHeight="1" s="91">
      <c r="A232" s="144" t="n">
        <v>128</v>
      </c>
      <c r="B232" s="145" t="inlineStr">
        <is>
          <t>Operations, Technology &amp; Information Management</t>
        </is>
      </c>
      <c r="C232" s="144" t="n">
        <v>5</v>
      </c>
      <c r="D232" s="144" t="n">
        <v>1</v>
      </c>
      <c r="E232" s="144" t="n">
        <v>4</v>
      </c>
      <c r="F232" s="144" t="n">
        <v>5</v>
      </c>
    </row>
    <row r="233" ht="15" customHeight="1" s="91">
      <c r="A233" s="143" t="n">
        <v>129</v>
      </c>
      <c r="B233" s="140" t="inlineStr">
        <is>
          <t>Operations Research</t>
        </is>
      </c>
      <c r="C233" s="143" t="n">
        <v>5</v>
      </c>
      <c r="D233" s="143" t="n">
        <v>1</v>
      </c>
      <c r="E233" s="143" t="n">
        <v>4</v>
      </c>
      <c r="F233" s="143" t="n">
        <v>5</v>
      </c>
    </row>
    <row r="234" ht="15" customHeight="1" s="91">
      <c r="A234" s="144" t="n">
        <v>130</v>
      </c>
      <c r="B234" s="145" t="inlineStr">
        <is>
          <t>Behavioral Decision Making</t>
        </is>
      </c>
      <c r="C234" s="144" t="n">
        <v>5</v>
      </c>
      <c r="D234" s="144" t="n">
        <v>1</v>
      </c>
      <c r="E234" s="144" t="n">
        <v>4</v>
      </c>
      <c r="F234" s="144" t="n">
        <v>5</v>
      </c>
    </row>
    <row r="235" ht="15" customHeight="1" s="91">
      <c r="A235" s="143" t="n">
        <v>131</v>
      </c>
      <c r="B235" s="140" t="inlineStr">
        <is>
          <t>Decisions, Operations &amp; Technology Management</t>
        </is>
      </c>
      <c r="C235" s="143" t="n">
        <v>5</v>
      </c>
      <c r="D235" s="143" t="n">
        <v>1</v>
      </c>
      <c r="E235" s="143" t="n">
        <v>4</v>
      </c>
      <c r="F235" s="143" t="n">
        <v>5</v>
      </c>
    </row>
    <row r="236" ht="15" customHeight="1" s="91">
      <c r="A236" s="144" t="n">
        <v>132</v>
      </c>
      <c r="B236" s="145" t="inlineStr">
        <is>
          <t>Organization Studies</t>
        </is>
      </c>
      <c r="C236" s="144" t="n">
        <v>5</v>
      </c>
      <c r="D236" s="144" t="n">
        <v>1</v>
      </c>
      <c r="E236" s="144" t="n">
        <v>4</v>
      </c>
      <c r="F236" s="144" t="n">
        <v>5</v>
      </c>
    </row>
    <row r="237" ht="15" customHeight="1" s="91">
      <c r="A237" s="143" t="n">
        <v>133</v>
      </c>
      <c r="B237" s="140" t="inlineStr">
        <is>
          <t>Operations &amp; Decision Technologies</t>
        </is>
      </c>
      <c r="C237" s="143" t="n">
        <v>5</v>
      </c>
      <c r="D237" s="143" t="n">
        <v>1</v>
      </c>
      <c r="E237" s="143" t="n">
        <v>4</v>
      </c>
      <c r="F237" s="143" t="n">
        <v>5</v>
      </c>
    </row>
    <row r="238" ht="15" customHeight="1" s="91">
      <c r="A238" s="144" t="n">
        <v>134</v>
      </c>
      <c r="B238" s="145" t="inlineStr">
        <is>
          <t>Information Technology Management</t>
        </is>
      </c>
      <c r="C238" s="144" t="n">
        <v>5</v>
      </c>
      <c r="D238" s="144" t="n">
        <v>1</v>
      </c>
      <c r="E238" s="144" t="n">
        <v>4</v>
      </c>
      <c r="F238" s="144" t="n">
        <v>5</v>
      </c>
    </row>
    <row r="239" ht="15" customHeight="1" s="91">
      <c r="A239" s="143" t="n">
        <v>135</v>
      </c>
      <c r="B239" s="140" t="inlineStr">
        <is>
          <t>Law &amp; Ethics</t>
        </is>
      </c>
      <c r="C239" s="143" t="n">
        <v>5</v>
      </c>
      <c r="D239" s="143" t="n">
        <v>1</v>
      </c>
      <c r="E239" s="143" t="n">
        <v>4</v>
      </c>
      <c r="F239" s="143" t="n">
        <v>5</v>
      </c>
    </row>
    <row r="240" ht="15" customHeight="1" s="91">
      <c r="A240" s="144" t="n">
        <v>136</v>
      </c>
      <c r="B240" s="145" t="inlineStr">
        <is>
          <t>Accounting &amp; Information Systems</t>
        </is>
      </c>
      <c r="C240" s="144" t="n">
        <v>5</v>
      </c>
      <c r="D240" s="144" t="n">
        <v>1</v>
      </c>
      <c r="E240" s="144" t="n">
        <v>4</v>
      </c>
      <c r="F240" s="144" t="n">
        <v>5</v>
      </c>
    </row>
    <row r="241" ht="15" customHeight="1" s="91">
      <c r="A241" s="143" t="n">
        <v>137</v>
      </c>
      <c r="B241" s="140" t="inlineStr">
        <is>
          <t>Applied AI</t>
        </is>
      </c>
      <c r="C241" s="143" t="n">
        <v>1</v>
      </c>
      <c r="D241" s="143" t="n">
        <v>1</v>
      </c>
      <c r="E241" s="143" t="n">
        <v>4</v>
      </c>
      <c r="F241" s="143" t="n">
        <v>1</v>
      </c>
    </row>
    <row r="242" ht="15" customHeight="1" s="91">
      <c r="A242" s="144" t="n">
        <v>138</v>
      </c>
      <c r="B242" s="145" t="inlineStr">
        <is>
          <t>Strategy &amp; Leadership</t>
        </is>
      </c>
      <c r="C242" s="144" t="n">
        <v>0</v>
      </c>
      <c r="D242" s="144" t="n">
        <v>1</v>
      </c>
      <c r="E242" s="144" t="n">
        <v>4</v>
      </c>
      <c r="F242" s="144" t="n">
        <v>0</v>
      </c>
    </row>
    <row r="244" ht="15" customHeight="1" s="91">
      <c r="A244" s="141" t="inlineStr">
        <is>
          <t>Schools Ranked by Faculty in Sub-Areas</t>
        </is>
      </c>
    </row>
    <row r="245" ht="15" customHeight="1" s="91">
      <c r="A245" s="142" t="inlineStr">
        <is>
          <t>Rank</t>
        </is>
      </c>
      <c r="B245" s="142" t="inlineStr">
        <is>
          <t>School</t>
        </is>
      </c>
      <c r="C245" s="142" t="inlineStr">
        <is>
          <t>Total Faculty</t>
        </is>
      </c>
      <c r="D245" s="142" t="inlineStr">
        <is>
          <t># Depts</t>
        </is>
      </c>
      <c r="E245" s="142" t="inlineStr">
        <is>
          <t># Sub-Areas</t>
        </is>
      </c>
      <c r="F245" s="142" t="inlineStr">
        <is>
          <t>Avg Faculty/Dept</t>
        </is>
      </c>
    </row>
    <row r="246" ht="15" customHeight="1" s="91">
      <c r="A246" s="143" t="n">
        <v>1</v>
      </c>
      <c r="B246" s="140" t="inlineStr">
        <is>
          <t>Wharton</t>
        </is>
      </c>
      <c r="C246" s="143" t="n">
        <v>246</v>
      </c>
      <c r="D246" s="143" t="n">
        <v>10</v>
      </c>
      <c r="E246" s="143" t="n">
        <v>40</v>
      </c>
      <c r="F246" s="143" t="n">
        <v>24.6</v>
      </c>
    </row>
    <row r="247" ht="15" customHeight="1" s="91">
      <c r="A247" s="144" t="n">
        <v>2</v>
      </c>
      <c r="B247" s="145" t="inlineStr">
        <is>
          <t>Harvard HBS</t>
        </is>
      </c>
      <c r="C247" s="144" t="n">
        <v>209</v>
      </c>
      <c r="D247" s="144" t="n">
        <v>10</v>
      </c>
      <c r="E247" s="144" t="n">
        <v>39</v>
      </c>
      <c r="F247" s="144" t="n">
        <v>20.9</v>
      </c>
    </row>
    <row r="248" ht="15" customHeight="1" s="91">
      <c r="A248" s="143" t="n">
        <v>3</v>
      </c>
      <c r="B248" s="140" t="inlineStr">
        <is>
          <t>Chicago Booth</t>
        </is>
      </c>
      <c r="C248" s="143" t="n">
        <v>144</v>
      </c>
      <c r="D248" s="143" t="n">
        <v>11</v>
      </c>
      <c r="E248" s="143" t="n">
        <v>32</v>
      </c>
      <c r="F248" s="143" t="n">
        <v>13.1</v>
      </c>
    </row>
    <row r="249" ht="15" customHeight="1" s="91">
      <c r="A249" s="144" t="n">
        <v>4</v>
      </c>
      <c r="B249" s="145" t="inlineStr">
        <is>
          <t>Kellogg</t>
        </is>
      </c>
      <c r="C249" s="144" t="n">
        <v>141</v>
      </c>
      <c r="D249" s="144" t="n">
        <v>7</v>
      </c>
      <c r="E249" s="144" t="n">
        <v>28</v>
      </c>
      <c r="F249" s="144" t="n">
        <v>20.1</v>
      </c>
    </row>
    <row r="250" ht="15" customHeight="1" s="91">
      <c r="A250" s="143" t="n">
        <v>5</v>
      </c>
      <c r="B250" s="140" t="inlineStr">
        <is>
          <t>Maryland Smith</t>
        </is>
      </c>
      <c r="C250" s="143" t="n">
        <v>135</v>
      </c>
      <c r="D250" s="143" t="n">
        <v>6</v>
      </c>
      <c r="E250" s="143" t="n">
        <v>24</v>
      </c>
      <c r="F250" s="143" t="n">
        <v>22.5</v>
      </c>
    </row>
    <row r="251" ht="15" customHeight="1" s="91">
      <c r="A251" s="144" t="n">
        <v>6</v>
      </c>
      <c r="B251" s="145" t="inlineStr">
        <is>
          <t>MIT Sloan</t>
        </is>
      </c>
      <c r="C251" s="144" t="n">
        <v>129</v>
      </c>
      <c r="D251" s="144" t="n">
        <v>11</v>
      </c>
      <c r="E251" s="144" t="n">
        <v>36</v>
      </c>
      <c r="F251" s="144" t="n">
        <v>11.7</v>
      </c>
    </row>
    <row r="252" ht="15" customHeight="1" s="91">
      <c r="A252" s="143" t="n">
        <v>7</v>
      </c>
      <c r="B252" s="140" t="inlineStr">
        <is>
          <t>NYU Stern</t>
        </is>
      </c>
      <c r="C252" s="143" t="n">
        <v>125</v>
      </c>
      <c r="D252" s="143" t="n">
        <v>6</v>
      </c>
      <c r="E252" s="143" t="n">
        <v>24</v>
      </c>
      <c r="F252" s="143" t="n">
        <v>20.8</v>
      </c>
    </row>
    <row r="253" ht="15" customHeight="1" s="91">
      <c r="A253" s="144" t="n">
        <v>8</v>
      </c>
      <c r="B253" s="145" t="inlineStr">
        <is>
          <t>Columbia CBS</t>
        </is>
      </c>
      <c r="C253" s="144" t="n">
        <v>123</v>
      </c>
      <c r="D253" s="144" t="n">
        <v>6</v>
      </c>
      <c r="E253" s="144" t="n">
        <v>24</v>
      </c>
      <c r="F253" s="144" t="n">
        <v>20.5</v>
      </c>
    </row>
    <row r="254" ht="15" customHeight="1" s="91">
      <c r="A254" s="143" t="n">
        <v>9</v>
      </c>
      <c r="B254" s="140" t="inlineStr">
        <is>
          <t>Stanford GSB</t>
        </is>
      </c>
      <c r="C254" s="143" t="n">
        <v>122</v>
      </c>
      <c r="D254" s="143" t="n">
        <v>7</v>
      </c>
      <c r="E254" s="143" t="n">
        <v>24</v>
      </c>
      <c r="F254" s="143" t="n">
        <v>17.4</v>
      </c>
    </row>
    <row r="255" ht="15" customHeight="1" s="91">
      <c r="A255" s="144" t="n">
        <v>10</v>
      </c>
      <c r="B255" s="145" t="inlineStr">
        <is>
          <t>Minnesota Carlson</t>
        </is>
      </c>
      <c r="C255" s="144" t="n">
        <v>104</v>
      </c>
      <c r="D255" s="144" t="n">
        <v>6</v>
      </c>
      <c r="E255" s="144" t="n">
        <v>24</v>
      </c>
      <c r="F255" s="144" t="n">
        <v>17.3</v>
      </c>
    </row>
    <row r="256" ht="15" customHeight="1" s="91">
      <c r="A256" s="143" t="n">
        <v>11</v>
      </c>
      <c r="B256" s="140" t="inlineStr">
        <is>
          <t>Berkeley Haas</t>
        </is>
      </c>
      <c r="C256" s="143" t="n">
        <v>84</v>
      </c>
      <c r="D256" s="143" t="n">
        <v>6</v>
      </c>
      <c r="E256" s="143" t="n">
        <v>20</v>
      </c>
      <c r="F256" s="143" t="n">
        <v>14</v>
      </c>
    </row>
    <row r="257" ht="15" customHeight="1" s="91">
      <c r="A257" s="144" t="n">
        <v>12</v>
      </c>
      <c r="B257" s="145" t="inlineStr">
        <is>
          <t>GWU GWSB</t>
        </is>
      </c>
      <c r="C257" s="144" t="n">
        <v>83</v>
      </c>
      <c r="D257" s="144" t="n">
        <v>8</v>
      </c>
      <c r="E257" s="144" t="n">
        <v>31</v>
      </c>
      <c r="F257" s="144" t="n">
        <v>10.4</v>
      </c>
    </row>
    <row r="258" ht="15" customHeight="1" s="91">
      <c r="A258" s="143" t="n">
        <v>13</v>
      </c>
      <c r="B258" s="140" t="inlineStr">
        <is>
          <t>Purdue Krannert</t>
        </is>
      </c>
      <c r="C258" s="143" t="n">
        <v>79</v>
      </c>
      <c r="D258" s="143" t="n">
        <v>8</v>
      </c>
      <c r="E258" s="143" t="n">
        <v>31</v>
      </c>
      <c r="F258" s="143" t="n">
        <v>9.9</v>
      </c>
    </row>
    <row r="259" ht="15" customHeight="1" s="91">
      <c r="A259" s="144" t="n">
        <v>14</v>
      </c>
      <c r="B259" s="145" t="inlineStr">
        <is>
          <t>Temple Fox</t>
        </is>
      </c>
      <c r="C259" s="144" t="n">
        <v>79</v>
      </c>
      <c r="D259" s="144" t="n">
        <v>9</v>
      </c>
      <c r="E259" s="144" t="n">
        <v>27</v>
      </c>
      <c r="F259" s="144" t="n">
        <v>8.800000000000001</v>
      </c>
    </row>
    <row r="260" ht="15" customHeight="1" s="91">
      <c r="A260" s="143" t="n">
        <v>15</v>
      </c>
      <c r="B260" s="140" t="inlineStr">
        <is>
          <t>BU Questrom</t>
        </is>
      </c>
      <c r="C260" s="143" t="n">
        <v>76</v>
      </c>
      <c r="D260" s="143" t="n">
        <v>8</v>
      </c>
      <c r="E260" s="143" t="n">
        <v>32</v>
      </c>
      <c r="F260" s="143" t="n">
        <v>9.5</v>
      </c>
    </row>
    <row r="261" ht="15" customHeight="1" s="91">
      <c r="A261" s="144" t="n">
        <v>16</v>
      </c>
      <c r="B261" s="145" t="inlineStr">
        <is>
          <t>Michigan Ross</t>
        </is>
      </c>
      <c r="C261" s="144" t="n">
        <v>74</v>
      </c>
      <c r="D261" s="144" t="n">
        <v>7</v>
      </c>
      <c r="E261" s="144" t="n">
        <v>28</v>
      </c>
      <c r="F261" s="144" t="n">
        <v>10.6</v>
      </c>
    </row>
    <row r="262" ht="15" customHeight="1" s="91">
      <c r="A262" s="143" t="n">
        <v>17</v>
      </c>
      <c r="B262" s="140" t="inlineStr">
        <is>
          <t>UT McCombs</t>
        </is>
      </c>
      <c r="C262" s="143" t="n">
        <v>72</v>
      </c>
      <c r="D262" s="143" t="n">
        <v>6</v>
      </c>
      <c r="E262" s="143" t="n">
        <v>24</v>
      </c>
      <c r="F262" s="143" t="n">
        <v>12</v>
      </c>
    </row>
    <row r="263" ht="15" customHeight="1" s="91">
      <c r="A263" s="144" t="n">
        <v>18</v>
      </c>
      <c r="B263" s="145" t="inlineStr">
        <is>
          <t>USC Marshall</t>
        </is>
      </c>
      <c r="C263" s="144" t="n">
        <v>63</v>
      </c>
      <c r="D263" s="144" t="n">
        <v>5</v>
      </c>
      <c r="E263" s="144" t="n">
        <v>20</v>
      </c>
      <c r="F263" s="144" t="n">
        <v>12.6</v>
      </c>
    </row>
    <row r="264" ht="15" customHeight="1" s="91">
      <c r="A264" s="143" t="n">
        <v>19</v>
      </c>
      <c r="B264" s="140" t="inlineStr">
        <is>
          <t>BYU Marriott</t>
        </is>
      </c>
      <c r="C264" s="143" t="n">
        <v>62</v>
      </c>
      <c r="D264" s="143" t="n">
        <v>8</v>
      </c>
      <c r="E264" s="143" t="n">
        <v>27</v>
      </c>
      <c r="F264" s="143" t="n">
        <v>7.8</v>
      </c>
    </row>
    <row r="265" ht="15" customHeight="1" s="91">
      <c r="A265" s="144" t="n">
        <v>20</v>
      </c>
      <c r="B265" s="145" t="inlineStr">
        <is>
          <t>Miami Herbert</t>
        </is>
      </c>
      <c r="C265" s="144" t="n">
        <v>61</v>
      </c>
      <c r="D265" s="144" t="n">
        <v>8</v>
      </c>
      <c r="E265" s="144" t="n">
        <v>28</v>
      </c>
      <c r="F265" s="144" t="n">
        <v>7.6</v>
      </c>
    </row>
    <row r="266" ht="15" customHeight="1" s="91">
      <c r="A266" s="143" t="n">
        <v>21</v>
      </c>
      <c r="B266" s="140" t="inlineStr">
        <is>
          <t>Notre Dame Mendoza</t>
        </is>
      </c>
      <c r="C266" s="143" t="n">
        <v>59</v>
      </c>
      <c r="D266" s="143" t="n">
        <v>5</v>
      </c>
      <c r="E266" s="143" t="n">
        <v>20</v>
      </c>
      <c r="F266" s="143" t="n">
        <v>11.8</v>
      </c>
    </row>
    <row r="267" ht="15" customHeight="1" s="91">
      <c r="A267" s="144" t="n">
        <v>22</v>
      </c>
      <c r="B267" s="145" t="inlineStr">
        <is>
          <t>WashU Olin</t>
        </is>
      </c>
      <c r="C267" s="144" t="n">
        <v>54</v>
      </c>
      <c r="D267" s="144" t="n">
        <v>6</v>
      </c>
      <c r="E267" s="144" t="n">
        <v>24</v>
      </c>
      <c r="F267" s="144" t="n">
        <v>9</v>
      </c>
    </row>
    <row r="268" ht="15" customHeight="1" s="91">
      <c r="A268" s="143" t="n">
        <v>23</v>
      </c>
      <c r="B268" s="140" t="inlineStr">
        <is>
          <t>Pitt Katz</t>
        </is>
      </c>
      <c r="C268" s="143" t="n">
        <v>51</v>
      </c>
      <c r="D268" s="143" t="n">
        <v>7</v>
      </c>
      <c r="E268" s="143" t="n">
        <v>28</v>
      </c>
      <c r="F268" s="143" t="n">
        <v>7.3</v>
      </c>
    </row>
    <row r="269" ht="15" customHeight="1" s="91">
      <c r="A269" s="144" t="n">
        <v>24</v>
      </c>
      <c r="B269" s="145" t="inlineStr">
        <is>
          <t>UVA Darden</t>
        </is>
      </c>
      <c r="C269" s="144" t="n">
        <v>50</v>
      </c>
      <c r="D269" s="144" t="n">
        <v>6</v>
      </c>
      <c r="E269" s="144" t="n">
        <v>24</v>
      </c>
      <c r="F269" s="144" t="n">
        <v>8.300000000000001</v>
      </c>
    </row>
    <row r="270" ht="15" customHeight="1" s="91">
      <c r="A270" s="143" t="n">
        <v>25</v>
      </c>
      <c r="B270" s="140" t="inlineStr">
        <is>
          <t>Tulane Freeman</t>
        </is>
      </c>
      <c r="C270" s="143" t="n">
        <v>50</v>
      </c>
      <c r="D270" s="143" t="n">
        <v>4</v>
      </c>
      <c r="E270" s="143" t="n">
        <v>16</v>
      </c>
      <c r="F270" s="143" t="n">
        <v>12.5</v>
      </c>
    </row>
    <row r="271" ht="15" customHeight="1" s="91">
      <c r="A271" s="144" t="n">
        <v>26</v>
      </c>
      <c r="B271" s="145" t="inlineStr">
        <is>
          <t>Wake Forest SoB</t>
        </is>
      </c>
      <c r="C271" s="144" t="n">
        <v>50</v>
      </c>
      <c r="D271" s="144" t="n">
        <v>4</v>
      </c>
      <c r="E271" s="144" t="n">
        <v>16</v>
      </c>
      <c r="F271" s="144" t="n">
        <v>12.5</v>
      </c>
    </row>
    <row r="272" ht="15" customHeight="1" s="91">
      <c r="A272" s="143" t="n">
        <v>27</v>
      </c>
      <c r="B272" s="140" t="inlineStr">
        <is>
          <t>Georgetown MSOB</t>
        </is>
      </c>
      <c r="C272" s="143" t="n">
        <v>49</v>
      </c>
      <c r="D272" s="143" t="n">
        <v>6</v>
      </c>
      <c r="E272" s="143" t="n">
        <v>23</v>
      </c>
      <c r="F272" s="143" t="n">
        <v>8.199999999999999</v>
      </c>
    </row>
    <row r="273" ht="15" customHeight="1" s="91">
      <c r="A273" s="144" t="n">
        <v>28</v>
      </c>
      <c r="B273" s="145" t="inlineStr">
        <is>
          <t>Indiana Kelley</t>
        </is>
      </c>
      <c r="C273" s="144" t="n">
        <v>48</v>
      </c>
      <c r="D273" s="144" t="n">
        <v>7</v>
      </c>
      <c r="E273" s="144" t="n">
        <v>28</v>
      </c>
      <c r="F273" s="144" t="n">
        <v>6.9</v>
      </c>
    </row>
    <row r="274" ht="15" customHeight="1" s="91">
      <c r="A274" s="143" t="n">
        <v>29</v>
      </c>
      <c r="B274" s="140" t="inlineStr">
        <is>
          <t>UW Foster</t>
        </is>
      </c>
      <c r="C274" s="143" t="n">
        <v>48</v>
      </c>
      <c r="D274" s="143" t="n">
        <v>5</v>
      </c>
      <c r="E274" s="143" t="n">
        <v>20</v>
      </c>
      <c r="F274" s="143" t="n">
        <v>9.6</v>
      </c>
    </row>
    <row r="275" ht="15" customHeight="1" s="91">
      <c r="A275" s="144" t="n">
        <v>30</v>
      </c>
      <c r="B275" s="145" t="inlineStr">
        <is>
          <t>Duke Fuqua</t>
        </is>
      </c>
      <c r="C275" s="144" t="n">
        <v>47</v>
      </c>
      <c r="D275" s="144" t="n">
        <v>8</v>
      </c>
      <c r="E275" s="144" t="n">
        <v>27</v>
      </c>
      <c r="F275" s="144" t="n">
        <v>5.9</v>
      </c>
    </row>
    <row r="276" ht="15" customHeight="1" s="91">
      <c r="A276" s="143" t="n">
        <v>31</v>
      </c>
      <c r="B276" s="140" t="inlineStr">
        <is>
          <t>Texas A&amp;M Mays</t>
        </is>
      </c>
      <c r="C276" s="143" t="n">
        <v>47</v>
      </c>
      <c r="D276" s="143" t="n">
        <v>5</v>
      </c>
      <c r="E276" s="143" t="n">
        <v>20</v>
      </c>
      <c r="F276" s="143" t="n">
        <v>9.4</v>
      </c>
    </row>
    <row r="277" ht="15" customHeight="1" s="91">
      <c r="A277" s="144" t="n">
        <v>32</v>
      </c>
      <c r="B277" s="145" t="inlineStr">
        <is>
          <t>CMU Tepper</t>
        </is>
      </c>
      <c r="C277" s="144" t="n">
        <v>46</v>
      </c>
      <c r="D277" s="144" t="n">
        <v>7</v>
      </c>
      <c r="E277" s="144" t="n">
        <v>24</v>
      </c>
      <c r="F277" s="144" t="n">
        <v>6.6</v>
      </c>
    </row>
    <row r="278" ht="15" customHeight="1" s="91">
      <c r="A278" s="143" t="n">
        <v>33</v>
      </c>
      <c r="B278" s="140" t="inlineStr">
        <is>
          <t>UNC Kenan-Flagler</t>
        </is>
      </c>
      <c r="C278" s="143" t="n">
        <v>46</v>
      </c>
      <c r="D278" s="143" t="n">
        <v>7</v>
      </c>
      <c r="E278" s="143" t="n">
        <v>27</v>
      </c>
      <c r="F278" s="143" t="n">
        <v>6.6</v>
      </c>
    </row>
    <row r="279" ht="15" customHeight="1" s="91">
      <c r="A279" s="144" t="n">
        <v>34</v>
      </c>
      <c r="B279" s="145" t="inlineStr">
        <is>
          <t>NEU DAmore-McKim</t>
        </is>
      </c>
      <c r="C279" s="144" t="n">
        <v>46</v>
      </c>
      <c r="D279" s="144" t="n">
        <v>7</v>
      </c>
      <c r="E279" s="144" t="n">
        <v>28</v>
      </c>
      <c r="F279" s="144" t="n">
        <v>6.6</v>
      </c>
    </row>
    <row r="280" ht="15" customHeight="1" s="91">
      <c r="A280" s="143" t="n">
        <v>35</v>
      </c>
      <c r="B280" s="140" t="inlineStr">
        <is>
          <t>ASU Carey</t>
        </is>
      </c>
      <c r="C280" s="143" t="n">
        <v>44</v>
      </c>
      <c r="D280" s="143" t="n">
        <v>7</v>
      </c>
      <c r="E280" s="143" t="n">
        <v>28</v>
      </c>
      <c r="F280" s="143" t="n">
        <v>6.3</v>
      </c>
    </row>
    <row r="281" ht="15" customHeight="1" s="91">
      <c r="A281" s="144" t="n">
        <v>36</v>
      </c>
      <c r="B281" s="145" t="inlineStr">
        <is>
          <t>Iowa Tippie</t>
        </is>
      </c>
      <c r="C281" s="144" t="n">
        <v>43</v>
      </c>
      <c r="D281" s="144" t="n">
        <v>6</v>
      </c>
      <c r="E281" s="144" t="n">
        <v>24</v>
      </c>
      <c r="F281" s="144" t="n">
        <v>7.2</v>
      </c>
    </row>
    <row r="282" ht="15" customHeight="1" s="91">
      <c r="A282" s="143" t="n">
        <v>37</v>
      </c>
      <c r="B282" s="140" t="inlineStr">
        <is>
          <t>Rochester Simon</t>
        </is>
      </c>
      <c r="C282" s="143" t="n">
        <v>43</v>
      </c>
      <c r="D282" s="143" t="n">
        <v>5</v>
      </c>
      <c r="E282" s="143" t="n">
        <v>20</v>
      </c>
      <c r="F282" s="143" t="n">
        <v>8.6</v>
      </c>
    </row>
    <row r="283" ht="15" customHeight="1" s="91">
      <c r="A283" s="144" t="n">
        <v>38</v>
      </c>
      <c r="B283" s="145" t="inlineStr">
        <is>
          <t>Rice Jones</t>
        </is>
      </c>
      <c r="C283" s="144" t="n">
        <v>42</v>
      </c>
      <c r="D283" s="144" t="n">
        <v>6</v>
      </c>
      <c r="E283" s="144" t="n">
        <v>23</v>
      </c>
      <c r="F283" s="144" t="n">
        <v>7</v>
      </c>
    </row>
    <row r="284" ht="15" customHeight="1" s="91">
      <c r="A284" s="143" t="n">
        <v>39</v>
      </c>
      <c r="B284" s="140" t="inlineStr">
        <is>
          <t>Wisconsin SoB</t>
        </is>
      </c>
      <c r="C284" s="143" t="n">
        <v>42</v>
      </c>
      <c r="D284" s="143" t="n">
        <v>7</v>
      </c>
      <c r="E284" s="143" t="n">
        <v>28</v>
      </c>
      <c r="F284" s="143" t="n">
        <v>6</v>
      </c>
    </row>
    <row r="285" ht="15" customHeight="1" s="91">
      <c r="A285" s="144" t="n">
        <v>40</v>
      </c>
      <c r="B285" s="145" t="inlineStr">
        <is>
          <t>Emory Goizueta</t>
        </is>
      </c>
      <c r="C285" s="144" t="n">
        <v>41</v>
      </c>
      <c r="D285" s="144" t="n">
        <v>5</v>
      </c>
      <c r="E285" s="144" t="n">
        <v>20</v>
      </c>
      <c r="F285" s="144" t="n">
        <v>8.199999999999999</v>
      </c>
    </row>
    <row r="286" ht="15" customHeight="1" s="91">
      <c r="A286" s="143" t="n">
        <v>41</v>
      </c>
      <c r="B286" s="140" t="inlineStr">
        <is>
          <t>Yale SOM</t>
        </is>
      </c>
      <c r="C286" s="143" t="n">
        <v>40</v>
      </c>
      <c r="D286" s="143" t="n">
        <v>7</v>
      </c>
      <c r="E286" s="143" t="n">
        <v>28</v>
      </c>
      <c r="F286" s="143" t="n">
        <v>5.7</v>
      </c>
    </row>
    <row r="287" ht="15" customHeight="1" s="91">
      <c r="A287" s="144" t="n">
        <v>42</v>
      </c>
      <c r="B287" s="145" t="inlineStr">
        <is>
          <t>Ohio State Fisher</t>
        </is>
      </c>
      <c r="C287" s="144" t="n">
        <v>40</v>
      </c>
      <c r="D287" s="144" t="n">
        <v>5</v>
      </c>
      <c r="E287" s="144" t="n">
        <v>16</v>
      </c>
      <c r="F287" s="144" t="n">
        <v>8</v>
      </c>
    </row>
    <row r="288" ht="15" customHeight="1" s="91">
      <c r="A288" s="143" t="n">
        <v>43</v>
      </c>
      <c r="B288" s="140" t="inlineStr">
        <is>
          <t>UCLA Anderson</t>
        </is>
      </c>
      <c r="C288" s="143" t="n">
        <v>38</v>
      </c>
      <c r="D288" s="143" t="n">
        <v>8</v>
      </c>
      <c r="E288" s="143" t="n">
        <v>28</v>
      </c>
      <c r="F288" s="143" t="n">
        <v>4.8</v>
      </c>
    </row>
    <row r="289" ht="15" customHeight="1" s="91">
      <c r="A289" s="144" t="n">
        <v>44</v>
      </c>
      <c r="B289" s="145" t="inlineStr">
        <is>
          <t>GT Scheller</t>
        </is>
      </c>
      <c r="C289" s="144" t="n">
        <v>38</v>
      </c>
      <c r="D289" s="144" t="n">
        <v>8</v>
      </c>
      <c r="E289" s="144" t="n">
        <v>32</v>
      </c>
      <c r="F289" s="144" t="n">
        <v>4.8</v>
      </c>
    </row>
    <row r="290" ht="15" customHeight="1" s="91">
      <c r="A290" s="143" t="n">
        <v>45</v>
      </c>
      <c r="B290" s="140" t="inlineStr">
        <is>
          <t>UF Warrington</t>
        </is>
      </c>
      <c r="C290" s="143" t="n">
        <v>38</v>
      </c>
      <c r="D290" s="143" t="n">
        <v>5</v>
      </c>
      <c r="E290" s="143" t="n">
        <v>20</v>
      </c>
      <c r="F290" s="143" t="n">
        <v>7.6</v>
      </c>
    </row>
    <row r="291" ht="15" customHeight="1" s="91">
      <c r="A291" s="144" t="n">
        <v>46</v>
      </c>
      <c r="B291" s="145" t="inlineStr">
        <is>
          <t>Penn State Smeal</t>
        </is>
      </c>
      <c r="C291" s="144" t="n">
        <v>37</v>
      </c>
      <c r="D291" s="144" t="n">
        <v>6</v>
      </c>
      <c r="E291" s="144" t="n">
        <v>24</v>
      </c>
      <c r="F291" s="144" t="n">
        <v>6.2</v>
      </c>
    </row>
    <row r="292" ht="15" customHeight="1" s="91">
      <c r="A292" s="143" t="n">
        <v>47</v>
      </c>
      <c r="B292" s="140" t="inlineStr">
        <is>
          <t>SMU Cox</t>
        </is>
      </c>
      <c r="C292" s="143" t="n">
        <v>37</v>
      </c>
      <c r="D292" s="143" t="n">
        <v>6</v>
      </c>
      <c r="E292" s="143" t="n">
        <v>24</v>
      </c>
      <c r="F292" s="143" t="n">
        <v>6.2</v>
      </c>
    </row>
    <row r="293" ht="15" customHeight="1" s="91">
      <c r="A293" s="144" t="n">
        <v>48</v>
      </c>
      <c r="B293" s="145" t="inlineStr">
        <is>
          <t>Cornell Johnson</t>
        </is>
      </c>
      <c r="C293" s="144" t="n">
        <v>36</v>
      </c>
      <c r="D293" s="144" t="n">
        <v>7</v>
      </c>
      <c r="E293" s="144" t="n">
        <v>24</v>
      </c>
      <c r="F293" s="144" t="n">
        <v>5.1</v>
      </c>
    </row>
    <row r="294" ht="15" customHeight="1" s="91">
      <c r="A294" s="143" t="n">
        <v>49</v>
      </c>
      <c r="B294" s="140" t="inlineStr">
        <is>
          <t>Dartmouth Tuck</t>
        </is>
      </c>
      <c r="C294" s="143" t="n">
        <v>34</v>
      </c>
      <c r="D294" s="143" t="n">
        <v>7</v>
      </c>
      <c r="E294" s="143" t="n">
        <v>28</v>
      </c>
      <c r="F294" s="143" t="n">
        <v>4.9</v>
      </c>
    </row>
    <row r="295" ht="15" customHeight="1" s="91">
      <c r="A295" s="144" t="n">
        <v>50</v>
      </c>
      <c r="B295" s="145" t="inlineStr">
        <is>
          <t>Vanderbilt Owen</t>
        </is>
      </c>
      <c r="C295" s="144" t="n">
        <v>29</v>
      </c>
      <c r="D295" s="144" t="n">
        <v>6</v>
      </c>
      <c r="E295" s="144" t="n">
        <v>24</v>
      </c>
      <c r="F295" s="144" t="n">
        <v>4.8</v>
      </c>
    </row>
  </sheetData>
  <mergeCells count="5">
    <mergeCell ref="A2:F2"/>
    <mergeCell ref="A1:F1"/>
    <mergeCell ref="A103:F103"/>
    <mergeCell ref="A6:F6"/>
    <mergeCell ref="A244:F2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4.25" customHeight="1" zeroHeight="0" outlineLevelRow="0"/>
  <cols>
    <col width="30" customWidth="1" style="90" min="1" max="1"/>
    <col width="100" customWidth="1" style="90" min="2" max="2"/>
  </cols>
  <sheetData>
    <row r="1" ht="30" customHeight="1" s="91">
      <c r="A1" s="146" t="inlineStr">
        <is>
          <t>Business School Research — Key Journals by Discipline</t>
        </is>
      </c>
    </row>
    <row r="2" ht="21.75" customHeight="1" s="91">
      <c r="A2" s="120" t="inlineStr">
        <is>
          <t>Field / Discipline</t>
        </is>
      </c>
      <c r="B2" s="120" t="inlineStr">
        <is>
          <t>Top Journals Published In</t>
        </is>
      </c>
    </row>
    <row r="3" ht="36" customHeight="1" s="91">
      <c r="A3" s="131" t="inlineStr">
        <is>
          <t>Accounting</t>
        </is>
      </c>
      <c r="B3" s="131" t="inlineStr">
        <is>
          <t>The Accounting Review; Journal of Accounting Research; Journal of Accounting &amp; Economics; Review of Accounting Studies</t>
        </is>
      </c>
    </row>
    <row r="4" ht="36" customHeight="1" s="91">
      <c r="A4" s="147" t="inlineStr">
        <is>
          <t>Finance</t>
        </is>
      </c>
      <c r="B4" s="147" t="inlineStr">
        <is>
          <t>Journal of Finance; Journal of Financial Economics; Review of Financial Studies; Journal of Financial &amp; Quantitative Analysis</t>
        </is>
      </c>
    </row>
    <row r="5" ht="36" customHeight="1" s="91">
      <c r="A5" s="131" t="inlineStr">
        <is>
          <t>Marketing</t>
        </is>
      </c>
      <c r="B5" s="131" t="inlineStr">
        <is>
          <t>Journal of Marketing; Journal of Marketing Research; Marketing Science; Journal of Consumer Research</t>
        </is>
      </c>
    </row>
    <row r="6" ht="36" customHeight="1" s="91">
      <c r="A6" s="147" t="inlineStr">
        <is>
          <t>Strategy/Mgmt</t>
        </is>
      </c>
      <c r="B6" s="147" t="inlineStr">
        <is>
          <t>Strategic Management Journal; Academy of Management Review; Organization Science; Administrative Science Quarterly</t>
        </is>
      </c>
    </row>
    <row r="7" ht="36" customHeight="1" s="91">
      <c r="A7" s="131" t="inlineStr">
        <is>
          <t>Operations</t>
        </is>
      </c>
      <c r="B7" s="131" t="inlineStr">
        <is>
          <t>Management Science; Operations Research; Manufacturing &amp; Service Operations Mgmt; Production and Operations Management</t>
        </is>
      </c>
    </row>
    <row r="8" ht="36" customHeight="1" s="91">
      <c r="A8" s="147" t="inlineStr">
        <is>
          <t>Economics/Policy</t>
        </is>
      </c>
      <c r="B8" s="147" t="inlineStr">
        <is>
          <t>American Economic Review; Journal of Political Economy; Quarterly Journal of Economics; RAND Journal of Economics</t>
        </is>
      </c>
    </row>
    <row r="9" ht="36" customHeight="1" s="91">
      <c r="A9" s="131" t="inlineStr">
        <is>
          <t>OB/Negotiations</t>
        </is>
      </c>
      <c r="B9" s="131" t="inlineStr">
        <is>
          <t>Academy of Management Journal; Administrative Science Quarterly; Organization Science; Journal of Applied Psychology</t>
        </is>
      </c>
    </row>
    <row r="10" ht="36" customHeight="1" s="91">
      <c r="A10" s="147" t="inlineStr">
        <is>
          <t>Info Systems</t>
        </is>
      </c>
      <c r="B10" s="147" t="inlineStr">
        <is>
          <t>MIS Quarterly; Information Systems Research; Management Science (IS); Journal of Management Information Systems</t>
        </is>
      </c>
    </row>
    <row r="11" ht="36" customHeight="1" s="91">
      <c r="A11" s="131" t="inlineStr">
        <is>
          <t>Entrepreneurship</t>
        </is>
      </c>
      <c r="B11" s="131" t="inlineStr">
        <is>
          <t>Journal of Business Venturing; Entrepreneurship Theory &amp; Practice; Strategic Entrepreneurship Journal</t>
        </is>
      </c>
    </row>
    <row r="12" ht="36" customHeight="1" s="91">
      <c r="A12" s="147" t="inlineStr">
        <is>
          <t>Real Estate</t>
        </is>
      </c>
      <c r="B12" s="147" t="inlineStr">
        <is>
          <t>Journal of Real Estate Finance &amp; Economics; Real Estate Economics; Journal of Urban Economics</t>
        </is>
      </c>
    </row>
    <row r="13" ht="36" customHeight="1" s="91">
      <c r="A13" s="131" t="inlineStr">
        <is>
          <t>Statistics/ML</t>
        </is>
      </c>
      <c r="B13" s="131" t="inlineStr">
        <is>
          <t>Journal of the American Statistical Association; Annals of Statistics; Journal of Machine Learning Research</t>
        </is>
      </c>
    </row>
    <row r="14" ht="36" customHeight="1" s="91">
      <c r="A14" s="147" t="inlineStr">
        <is>
          <t>Bus Ethics/Law</t>
        </is>
      </c>
      <c r="B14" s="147" t="inlineStr">
        <is>
          <t>Journal of Business Ethics; Business Ethics Quarterly; American Business Law Journal</t>
        </is>
      </c>
    </row>
    <row r="15" ht="36" customHeight="1" s="91">
      <c r="A15" s="131" t="inlineStr">
        <is>
          <t>Healthcare</t>
        </is>
      </c>
      <c r="B15" s="131" t="inlineStr">
        <is>
          <t>Health Affairs; Journal of Health Economics; Health Services Research; Management Science</t>
        </is>
      </c>
    </row>
    <row r="16" ht="36" customHeight="1" s="91">
      <c r="A16" s="147" t="inlineStr">
        <is>
          <t>Intl Business</t>
        </is>
      </c>
      <c r="B16" s="147" t="inlineStr">
        <is>
          <t>Journal of International Business Studies; Strategic Management Journal; Journal of World Business</t>
        </is>
      </c>
    </row>
    <row r="17" ht="36" customHeight="1" s="91">
      <c r="A17" s="131" t="inlineStr">
        <is>
          <t>Behavioral Sci</t>
        </is>
      </c>
      <c r="B17" s="131" t="inlineStr">
        <is>
          <t>Journal of Personality and Social Psychology; Psychological Science; Journal of Consumer Research; Psychological Review</t>
        </is>
      </c>
    </row>
    <row r="18" ht="36" customHeight="1" s="91">
      <c r="A18" s="147" t="inlineStr">
        <is>
          <t>Macroeconomics</t>
        </is>
      </c>
      <c r="B18" s="147" t="inlineStr">
        <is>
          <t>American Economic Review; Journal of Political Economy; Journal of Monetary Economics; Review of Economic Studies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30" customWidth="1" style="90" min="1" max="1"/>
    <col width="22" customWidth="1" style="90" min="2" max="2"/>
    <col width="16" customWidth="1" style="90" min="3" max="6"/>
    <col width="14" customWidth="1" style="90" min="7" max="11"/>
  </cols>
  <sheetData>
    <row r="1" ht="17.25" customHeight="1" s="91">
      <c r="A1" s="148" t="inlineStr">
        <is>
          <t>DEPARTMENT ANALYSIS - Top 50 US Business Schools</t>
        </is>
      </c>
    </row>
    <row r="3" ht="15" customHeight="1" s="91">
      <c r="A3" s="149" t="inlineStr">
        <is>
          <t>SECTION 1: What departments do most business schools have?</t>
        </is>
      </c>
    </row>
    <row r="5" ht="26.25" customHeight="1" s="91">
      <c r="A5" s="150" t="inlineStr">
        <is>
          <t>Department Category</t>
        </is>
      </c>
      <c r="B5" s="150" t="inlineStr">
        <is>
          <t># Schools with Dept</t>
        </is>
      </c>
      <c r="C5" s="150" t="inlineStr">
        <is>
          <t>% of 50 Schools</t>
        </is>
      </c>
      <c r="D5" s="150" t="inlineStr">
        <is>
          <t>Classification</t>
        </is>
      </c>
    </row>
    <row r="6" ht="15" customHeight="1" s="91">
      <c r="A6" s="151" t="inlineStr">
        <is>
          <t>Finance</t>
        </is>
      </c>
      <c r="B6" s="152" t="n">
        <v>49</v>
      </c>
      <c r="C6" s="153" t="n">
        <v>0.98</v>
      </c>
      <c r="D6" s="151" t="inlineStr">
        <is>
          <t>Universal (Core)</t>
        </is>
      </c>
    </row>
    <row r="7" ht="15" customHeight="1" s="91">
      <c r="A7" s="151" t="inlineStr">
        <is>
          <t>Marketing</t>
        </is>
      </c>
      <c r="B7" s="152" t="n">
        <v>49</v>
      </c>
      <c r="C7" s="153" t="n">
        <v>0.98</v>
      </c>
      <c r="D7" s="151" t="inlineStr">
        <is>
          <t>Universal (Core)</t>
        </is>
      </c>
    </row>
    <row r="8" ht="15" customHeight="1" s="91">
      <c r="A8" s="151" t="inlineStr">
        <is>
          <t>Accounting</t>
        </is>
      </c>
      <c r="B8" s="152" t="n">
        <v>45</v>
      </c>
      <c r="C8" s="153" t="n">
        <v>0.9</v>
      </c>
      <c r="D8" s="151" t="inlineStr">
        <is>
          <t>Universal (Core)</t>
        </is>
      </c>
    </row>
    <row r="9" ht="15" customHeight="1" s="91">
      <c r="A9" s="151" t="inlineStr">
        <is>
          <t>Operations &amp; Information</t>
        </is>
      </c>
      <c r="B9" s="152" t="n">
        <v>45</v>
      </c>
      <c r="C9" s="153" t="n">
        <v>0.9</v>
      </c>
      <c r="D9" s="151" t="inlineStr">
        <is>
          <t>Universal (Core)</t>
        </is>
      </c>
    </row>
    <row r="10" ht="15" customHeight="1" s="91">
      <c r="A10" s="154" t="inlineStr">
        <is>
          <t xml:space="preserve">    OM + IS Combined</t>
        </is>
      </c>
      <c r="B10" s="154" t="n">
        <v>24</v>
      </c>
      <c r="C10" s="155" t="n">
        <v>0.48</v>
      </c>
      <c r="D10" s="154" t="inlineStr">
        <is>
          <t>Combined into single dept</t>
        </is>
      </c>
    </row>
    <row r="11" ht="15" customHeight="1" s="91">
      <c r="A11" s="154" t="inlineStr">
        <is>
          <t xml:space="preserve">    OM Only (no separate IS dept)</t>
        </is>
      </c>
      <c r="B11" s="154" t="n">
        <v>14</v>
      </c>
      <c r="C11" s="155" t="n">
        <v>0.28</v>
      </c>
      <c r="D11" s="154" t="inlineStr">
        <is>
          <t>OM without IS</t>
        </is>
      </c>
    </row>
    <row r="12" ht="15" customHeight="1" s="91">
      <c r="A12" s="154" t="inlineStr">
        <is>
          <t xml:space="preserve">    Both OM &amp; IS Separate</t>
        </is>
      </c>
      <c r="B12" s="154" t="n">
        <v>10</v>
      </c>
      <c r="C12" s="155" t="n">
        <v>0.2</v>
      </c>
      <c r="D12" s="154" t="inlineStr">
        <is>
          <t>Separate OM and IS depts</t>
        </is>
      </c>
    </row>
    <row r="13" ht="15" customHeight="1" s="91">
      <c r="A13" s="154" t="inlineStr">
        <is>
          <t xml:space="preserve">    No OM or IS dept</t>
        </is>
      </c>
      <c r="B13" s="154" t="n">
        <v>2</v>
      </c>
      <c r="C13" s="155" t="n">
        <v>0.04</v>
      </c>
      <c r="D13" s="154" t="inlineStr">
        <is>
          <t>Neither identified</t>
        </is>
      </c>
    </row>
    <row r="14" ht="15" customHeight="1" s="91">
      <c r="A14" s="151" t="inlineStr">
        <is>
          <t>Management &amp; OB</t>
        </is>
      </c>
      <c r="B14" s="152" t="n">
        <v>44</v>
      </c>
      <c r="C14" s="153" t="n">
        <v>0.88</v>
      </c>
      <c r="D14" s="151" t="inlineStr">
        <is>
          <t>Universal (Core)</t>
        </is>
      </c>
    </row>
    <row r="15" ht="15" customHeight="1" s="91">
      <c r="A15" s="156" t="inlineStr">
        <is>
          <t>Economics &amp; Policy</t>
        </is>
      </c>
      <c r="B15" s="157" t="n">
        <v>26</v>
      </c>
      <c r="C15" s="158" t="n">
        <v>0.52</v>
      </c>
      <c r="D15" s="156" t="inlineStr">
        <is>
          <t>Common</t>
        </is>
      </c>
    </row>
    <row r="16" ht="15" customHeight="1" s="91">
      <c r="A16" s="156" t="inlineStr">
        <is>
          <t>Strategy</t>
        </is>
      </c>
      <c r="B16" s="157" t="n">
        <v>24</v>
      </c>
      <c r="C16" s="158" t="n">
        <v>0.48</v>
      </c>
      <c r="D16" s="156" t="inlineStr">
        <is>
          <t>Common</t>
        </is>
      </c>
    </row>
    <row r="17" ht="15" customHeight="1" s="91">
      <c r="A17" s="126" t="inlineStr">
        <is>
          <t>Other</t>
        </is>
      </c>
      <c r="B17" s="159" t="n">
        <v>12</v>
      </c>
      <c r="C17" s="160" t="n">
        <v>0.24</v>
      </c>
      <c r="D17" s="126" t="inlineStr">
        <is>
          <t>Occasional</t>
        </is>
      </c>
    </row>
    <row r="18" ht="15" customHeight="1" s="91">
      <c r="A18" s="126" t="inlineStr">
        <is>
          <t>Entrepreneurship</t>
        </is>
      </c>
      <c r="B18" s="159" t="n">
        <v>5</v>
      </c>
      <c r="C18" s="160" t="n">
        <v>0.1</v>
      </c>
      <c r="D18" s="126" t="inlineStr">
        <is>
          <t>Rare / Specialized</t>
        </is>
      </c>
    </row>
    <row r="19" ht="15" customHeight="1" s="91">
      <c r="A19" s="126" t="inlineStr">
        <is>
          <t>Legal &amp; Ethics</t>
        </is>
      </c>
      <c r="B19" s="159" t="n">
        <v>5</v>
      </c>
      <c r="C19" s="160" t="n">
        <v>0.1</v>
      </c>
      <c r="D19" s="126" t="inlineStr">
        <is>
          <t>Rare / Specialized</t>
        </is>
      </c>
    </row>
    <row r="20" ht="15" customHeight="1" s="91">
      <c r="A20" s="126" t="inlineStr">
        <is>
          <t>Real Estate</t>
        </is>
      </c>
      <c r="B20" s="159" t="n">
        <v>2</v>
      </c>
      <c r="C20" s="160" t="n">
        <v>0.04</v>
      </c>
      <c r="D20" s="126" t="inlineStr">
        <is>
          <t>Rare / Specialized</t>
        </is>
      </c>
    </row>
    <row r="21" ht="15" customHeight="1" s="91">
      <c r="A21" s="161" t="inlineStr">
        <is>
          <t>Statistics</t>
        </is>
      </c>
      <c r="B21" s="162" t="n"/>
      <c r="C21" s="162" t="n"/>
      <c r="D21" s="162" t="n"/>
      <c r="E21" s="162" t="n"/>
      <c r="F21" s="162" t="n"/>
    </row>
    <row r="22" ht="15" customHeight="1" s="91">
      <c r="A22" s="126" t="inlineStr">
        <is>
          <t>Health Care</t>
        </is>
      </c>
      <c r="B22" s="159" t="n">
        <v>1</v>
      </c>
      <c r="C22" s="160" t="n">
        <v>0.02</v>
      </c>
      <c r="D22" s="126" t="inlineStr">
        <is>
          <t>Rare / Specialized</t>
        </is>
      </c>
    </row>
    <row r="24" ht="26.25" customHeight="1" s="91"/>
    <row r="25" ht="15" customHeight="1" s="91">
      <c r="A25" s="149" t="inlineStr">
        <is>
          <t>SECTION 2: What percentage of faculty in each department?</t>
        </is>
      </c>
    </row>
    <row r="26" ht="15" customHeight="1" s="91">
      <c r="A26" s="163" t="inlineStr">
        <is>
          <t>Based on 16 schools with exact headcounts from faculty directories</t>
        </is>
      </c>
    </row>
    <row r="28" ht="15" customHeight="1" s="91">
      <c r="A28" s="150" t="inlineStr">
        <is>
          <t>Department Category</t>
        </is>
      </c>
      <c r="B28" s="150" t="inlineStr">
        <is>
          <t>Present in (of 16)</t>
        </is>
      </c>
      <c r="C28" s="150" t="inlineStr">
        <is>
          <t>Total TT Faculty</t>
        </is>
      </c>
      <c r="D28" s="150" t="inlineStr">
        <is>
          <t>% of All Faculty</t>
        </is>
      </c>
      <c r="E28" s="150" t="inlineStr">
        <is>
          <t>Avg per School</t>
        </is>
      </c>
    </row>
    <row r="29" ht="15" customHeight="1" s="91">
      <c r="A29" s="126" t="inlineStr">
        <is>
          <t>Management &amp; OB</t>
        </is>
      </c>
      <c r="B29" s="126" t="inlineStr">
        <is>
          <t>16/16</t>
        </is>
      </c>
      <c r="C29" s="159" t="n">
        <v>359</v>
      </c>
      <c r="D29" s="160" t="n">
        <v>0.184197024114931</v>
      </c>
      <c r="E29" s="126" t="n">
        <v>22.4</v>
      </c>
    </row>
    <row r="30" ht="15" customHeight="1" s="91">
      <c r="A30" s="126" t="inlineStr">
        <is>
          <t>Finance</t>
        </is>
      </c>
      <c r="B30" s="126" t="inlineStr">
        <is>
          <t>16/16</t>
        </is>
      </c>
      <c r="C30" s="159" t="n">
        <v>346</v>
      </c>
      <c r="D30" s="160" t="n">
        <v>0.177526936890713</v>
      </c>
      <c r="E30" s="126" t="n">
        <v>21.6</v>
      </c>
    </row>
    <row r="31" ht="15" customHeight="1" s="91">
      <c r="A31" s="126" t="inlineStr">
        <is>
          <t>Operations &amp; Information</t>
        </is>
      </c>
      <c r="B31" s="126" t="inlineStr">
        <is>
          <t>15/16</t>
        </is>
      </c>
      <c r="C31" s="159" t="n">
        <v>344</v>
      </c>
      <c r="D31" s="160" t="n">
        <v>0.176500769625449</v>
      </c>
      <c r="E31" s="126" t="n">
        <v>22.9</v>
      </c>
    </row>
    <row r="32" ht="15" customHeight="1" s="91">
      <c r="A32" s="126" t="inlineStr">
        <is>
          <t>Marketing</t>
        </is>
      </c>
      <c r="B32" s="126" t="inlineStr">
        <is>
          <t>16/16</t>
        </is>
      </c>
      <c r="C32" s="159" t="n">
        <v>260</v>
      </c>
      <c r="D32" s="160" t="n">
        <v>0.133401744484351</v>
      </c>
      <c r="E32" s="126" t="n">
        <v>16.2</v>
      </c>
    </row>
    <row r="33" ht="15" customHeight="1" s="91">
      <c r="A33" s="126" t="inlineStr">
        <is>
          <t>Economics &amp; Policy</t>
        </is>
      </c>
      <c r="B33" s="126" t="inlineStr">
        <is>
          <t>14/16</t>
        </is>
      </c>
      <c r="C33" s="159" t="n">
        <v>239</v>
      </c>
      <c r="D33" s="160" t="n">
        <v>0.122626988199077</v>
      </c>
      <c r="E33" s="126" t="n">
        <v>17.1</v>
      </c>
    </row>
    <row r="34" ht="15" customHeight="1" s="91">
      <c r="A34" s="126" t="inlineStr">
        <is>
          <t>Accounting</t>
        </is>
      </c>
      <c r="B34" s="126" t="inlineStr">
        <is>
          <t>16/16</t>
        </is>
      </c>
      <c r="C34" s="159" t="n">
        <v>197</v>
      </c>
      <c r="D34" s="160" t="n">
        <v>0.101077475628528</v>
      </c>
      <c r="E34" s="126" t="n">
        <v>12.3</v>
      </c>
    </row>
    <row r="35" ht="15" customHeight="1" s="91">
      <c r="A35" s="126" t="inlineStr">
        <is>
          <t>Strategy</t>
        </is>
      </c>
      <c r="B35" s="126" t="inlineStr">
        <is>
          <t>8/16</t>
        </is>
      </c>
      <c r="C35" s="159" t="n">
        <v>87</v>
      </c>
      <c r="D35" s="160" t="n">
        <v>0.0446382760389944</v>
      </c>
      <c r="E35" s="126" t="n">
        <v>10.9</v>
      </c>
    </row>
    <row r="36" ht="15" customHeight="1" s="91">
      <c r="A36" s="126" t="inlineStr">
        <is>
          <t>Other</t>
        </is>
      </c>
      <c r="B36" s="126" t="inlineStr">
        <is>
          <t>3/16</t>
        </is>
      </c>
      <c r="C36" s="159" t="n">
        <v>49</v>
      </c>
      <c r="D36" s="160" t="n">
        <v>0.0251410979989738</v>
      </c>
      <c r="E36" s="126" t="n">
        <v>16.3</v>
      </c>
    </row>
    <row r="37" ht="15" customHeight="1" s="91">
      <c r="A37" s="126" t="inlineStr">
        <is>
          <t>Entrepreneurship</t>
        </is>
      </c>
      <c r="B37" s="126" t="inlineStr">
        <is>
          <t>2/16</t>
        </is>
      </c>
      <c r="C37" s="159" t="n">
        <v>30</v>
      </c>
      <c r="D37" s="160" t="n">
        <v>0.0153925089789636</v>
      </c>
      <c r="E37" s="126" t="n">
        <v>15</v>
      </c>
    </row>
    <row r="38" ht="15" customHeight="1" s="91">
      <c r="A38" s="126" t="inlineStr">
        <is>
          <t>Legal &amp; Ethics</t>
        </is>
      </c>
      <c r="B38" s="126" t="inlineStr">
        <is>
          <t>1/16</t>
        </is>
      </c>
      <c r="C38" s="159" t="n">
        <v>21</v>
      </c>
      <c r="D38" s="160" t="n">
        <v>0.0107747562852745</v>
      </c>
      <c r="E38" s="126" t="n">
        <v>21</v>
      </c>
    </row>
    <row r="39" ht="15" customHeight="1" s="91">
      <c r="A39" s="126" t="inlineStr">
        <is>
          <t>Statistics</t>
        </is>
      </c>
      <c r="B39" s="126" t="inlineStr">
        <is>
          <t>1/16</t>
        </is>
      </c>
      <c r="C39" s="159" t="n">
        <v>14</v>
      </c>
      <c r="D39" s="160" t="n">
        <v>0.00718317085684967</v>
      </c>
      <c r="E39" s="126" t="n">
        <v>14</v>
      </c>
    </row>
    <row r="40" ht="15" customHeight="1" s="91">
      <c r="A40" s="126" t="inlineStr">
        <is>
          <t>Real Estate</t>
        </is>
      </c>
      <c r="B40" s="126" t="inlineStr">
        <is>
          <t>1/16</t>
        </is>
      </c>
      <c r="C40" s="159" t="n">
        <v>10</v>
      </c>
      <c r="D40" s="160" t="n">
        <v>0.00513083632632119</v>
      </c>
      <c r="E40" s="126" t="n">
        <v>10</v>
      </c>
    </row>
    <row r="41" ht="15" customHeight="1" s="91">
      <c r="A41" s="161" t="inlineStr">
        <is>
          <t>Health Care</t>
        </is>
      </c>
      <c r="B41" s="162" t="n"/>
      <c r="C41" s="162" t="n"/>
      <c r="D41" s="162" t="n"/>
      <c r="E41" s="162" t="n"/>
      <c r="F41" s="162" t="n"/>
      <c r="G41" s="162" t="n"/>
      <c r="H41" s="162" t="n"/>
      <c r="I41" s="162" t="n"/>
    </row>
    <row r="42" ht="15" customHeight="1" s="91">
      <c r="A42" s="126" t="inlineStr">
        <is>
          <t>TOTAL</t>
        </is>
      </c>
      <c r="B42" s="126" t="n"/>
      <c r="C42" s="159" t="n">
        <v>1949</v>
      </c>
      <c r="D42" s="160" t="n">
        <v>1</v>
      </c>
      <c r="E42" s="126" t="n"/>
    </row>
    <row r="43" ht="26.25" customHeight="1" s="91"/>
    <row r="45" ht="15" customHeight="1" s="91">
      <c r="A45" s="149" t="inlineStr">
        <is>
          <t>SECTION 3: Exact Faculty Counts by School (16 schools with verified data)</t>
        </is>
      </c>
    </row>
    <row r="47" ht="15" customHeight="1" s="91">
      <c r="A47" s="150" t="inlineStr">
        <is>
          <t>Rank</t>
        </is>
      </c>
      <c r="B47" s="150" t="inlineStr">
        <is>
          <t>School</t>
        </is>
      </c>
      <c r="C47" s="150" t="inlineStr">
        <is>
          <t>Total TT</t>
        </is>
      </c>
      <c r="D47" s="150" t="inlineStr">
        <is>
          <t>Accounting</t>
        </is>
      </c>
      <c r="E47" s="150" t="inlineStr">
        <is>
          <t>Economics &amp; Policy</t>
        </is>
      </c>
      <c r="F47" s="150" t="inlineStr">
        <is>
          <t>Finance</t>
        </is>
      </c>
      <c r="G47" s="150" t="inlineStr">
        <is>
          <t>Management &amp; OB</t>
        </is>
      </c>
      <c r="H47" s="150" t="inlineStr">
        <is>
          <t>Marketing</t>
        </is>
      </c>
      <c r="I47" s="150" t="inlineStr">
        <is>
          <t>Operations &amp; Information</t>
        </is>
      </c>
      <c r="J47" s="150" t="inlineStr">
        <is>
          <t>Strategy</t>
        </is>
      </c>
      <c r="K47" s="150" t="inlineStr">
        <is>
          <t>Other</t>
        </is>
      </c>
    </row>
    <row r="48" ht="15" customHeight="1" s="91">
      <c r="A48" s="126" t="n">
        <v>1</v>
      </c>
      <c r="B48" s="126" t="inlineStr">
        <is>
          <t>Wharton</t>
        </is>
      </c>
      <c r="C48" s="159" t="n">
        <v>246</v>
      </c>
      <c r="D48" s="126" t="n">
        <v>20</v>
      </c>
      <c r="E48" s="126" t="n">
        <v>19</v>
      </c>
      <c r="F48" s="126" t="n">
        <v>39</v>
      </c>
      <c r="G48" s="126" t="n">
        <v>57</v>
      </c>
      <c r="H48" s="126" t="n">
        <v>27</v>
      </c>
      <c r="I48" s="126" t="n">
        <v>53</v>
      </c>
      <c r="J48" s="126" t="n"/>
      <c r="K48" s="126" t="n">
        <v>31</v>
      </c>
    </row>
    <row r="49" ht="15" customHeight="1" s="91">
      <c r="A49" s="126" t="n">
        <v>2</v>
      </c>
      <c r="B49" s="126" t="inlineStr">
        <is>
          <t>Harvard HBS</t>
        </is>
      </c>
      <c r="C49" s="159" t="n">
        <v>201</v>
      </c>
      <c r="D49" s="126" t="n">
        <v>17</v>
      </c>
      <c r="E49" s="126" t="n">
        <v>23</v>
      </c>
      <c r="F49" s="126" t="n">
        <v>24</v>
      </c>
      <c r="G49" s="126" t="n">
        <v>54</v>
      </c>
      <c r="H49" s="126" t="n">
        <v>15</v>
      </c>
      <c r="I49" s="126" t="n">
        <v>24</v>
      </c>
      <c r="J49" s="126" t="n">
        <v>18</v>
      </c>
      <c r="K49" s="126" t="n">
        <v>26</v>
      </c>
    </row>
    <row r="50" ht="15" customHeight="1" s="91">
      <c r="A50" s="126" t="n">
        <v>3</v>
      </c>
      <c r="B50" s="126" t="inlineStr">
        <is>
          <t>Chicago Booth</t>
        </is>
      </c>
      <c r="C50" s="159" t="n">
        <v>144</v>
      </c>
      <c r="D50" s="126" t="n">
        <v>21</v>
      </c>
      <c r="E50" s="126" t="n">
        <v>32</v>
      </c>
      <c r="F50" s="126" t="n">
        <v>25</v>
      </c>
      <c r="G50" s="126" t="n">
        <v>18</v>
      </c>
      <c r="H50" s="126" t="n">
        <v>17</v>
      </c>
      <c r="I50" s="126" t="n">
        <v>13</v>
      </c>
      <c r="J50" s="126" t="n"/>
      <c r="K50" s="126" t="n">
        <v>18</v>
      </c>
    </row>
    <row r="51" ht="15" customHeight="1" s="91">
      <c r="A51" s="126" t="n">
        <v>4</v>
      </c>
      <c r="B51" s="126" t="inlineStr">
        <is>
          <t>Kellogg</t>
        </is>
      </c>
      <c r="C51" s="159" t="n">
        <v>141</v>
      </c>
      <c r="D51" s="126" t="n">
        <v>10</v>
      </c>
      <c r="E51" s="126" t="n"/>
      <c r="F51" s="126" t="n">
        <v>26</v>
      </c>
      <c r="G51" s="126" t="n">
        <v>25</v>
      </c>
      <c r="H51" s="126" t="n">
        <v>23</v>
      </c>
      <c r="I51" s="126" t="n">
        <v>33</v>
      </c>
      <c r="J51" s="126" t="n">
        <v>24</v>
      </c>
      <c r="K51" s="126" t="n"/>
    </row>
    <row r="52" ht="15" customHeight="1" s="91">
      <c r="A52" s="126" t="n">
        <v>5</v>
      </c>
      <c r="B52" s="126" t="inlineStr">
        <is>
          <t>MIT Sloan</t>
        </is>
      </c>
      <c r="C52" s="159" t="n">
        <v>129</v>
      </c>
      <c r="D52" s="126" t="n">
        <v>9</v>
      </c>
      <c r="E52" s="126" t="n">
        <v>23</v>
      </c>
      <c r="F52" s="126" t="n">
        <v>21</v>
      </c>
      <c r="G52" s="126" t="n">
        <v>15</v>
      </c>
      <c r="H52" s="126" t="n">
        <v>7</v>
      </c>
      <c r="I52" s="126" t="n">
        <v>38</v>
      </c>
      <c r="J52" s="126" t="n">
        <v>11</v>
      </c>
      <c r="K52" s="126" t="n">
        <v>5</v>
      </c>
    </row>
    <row r="53" ht="15" customHeight="1" s="91">
      <c r="A53" s="126" t="n">
        <v>6</v>
      </c>
      <c r="B53" s="126" t="inlineStr">
        <is>
          <t>Stanford GSB</t>
        </is>
      </c>
      <c r="C53" s="159" t="n">
        <v>122</v>
      </c>
      <c r="D53" s="126" t="n">
        <v>15</v>
      </c>
      <c r="E53" s="126" t="n">
        <v>11</v>
      </c>
      <c r="F53" s="126" t="n">
        <v>22</v>
      </c>
      <c r="G53" s="126" t="n">
        <v>23</v>
      </c>
      <c r="H53" s="126" t="n">
        <v>15</v>
      </c>
      <c r="I53" s="126" t="n">
        <v>11</v>
      </c>
      <c r="J53" s="126" t="n"/>
      <c r="K53" s="126" t="n">
        <v>25</v>
      </c>
    </row>
    <row r="54" ht="15" customHeight="1" s="91">
      <c r="A54" s="126" t="n">
        <v>7</v>
      </c>
      <c r="B54" s="126" t="inlineStr">
        <is>
          <t>Columbia CBS</t>
        </is>
      </c>
      <c r="C54" s="159" t="n">
        <v>123</v>
      </c>
      <c r="D54" s="126" t="n">
        <v>11</v>
      </c>
      <c r="E54" s="126" t="n">
        <v>21</v>
      </c>
      <c r="F54" s="126" t="n">
        <v>24</v>
      </c>
      <c r="G54" s="126" t="n">
        <v>29</v>
      </c>
      <c r="H54" s="126" t="n">
        <v>21</v>
      </c>
      <c r="I54" s="126" t="n">
        <v>17</v>
      </c>
      <c r="J54" s="126" t="n"/>
      <c r="K54" s="126" t="n"/>
    </row>
    <row r="55" ht="15" customHeight="1" s="91">
      <c r="A55" s="126" t="n">
        <v>8</v>
      </c>
      <c r="B55" s="126" t="inlineStr">
        <is>
          <t>NYU Stern</t>
        </is>
      </c>
      <c r="C55" s="159" t="n">
        <v>168</v>
      </c>
      <c r="D55" s="126" t="n">
        <v>16</v>
      </c>
      <c r="E55" s="126" t="n">
        <v>22</v>
      </c>
      <c r="F55" s="126" t="n">
        <v>38</v>
      </c>
      <c r="G55" s="126" t="n">
        <v>34</v>
      </c>
      <c r="H55" s="126" t="n">
        <v>26</v>
      </c>
      <c r="I55" s="126" t="n">
        <v>34</v>
      </c>
      <c r="J55" s="126" t="n"/>
      <c r="K55" s="126" t="n"/>
    </row>
    <row r="56" ht="15" customHeight="1" s="91">
      <c r="A56" s="126" t="n">
        <v>9</v>
      </c>
      <c r="B56" s="126" t="inlineStr">
        <is>
          <t>Dartmouth Tuck</t>
        </is>
      </c>
      <c r="C56" s="159" t="n">
        <v>55</v>
      </c>
      <c r="D56" s="126" t="n">
        <v>7</v>
      </c>
      <c r="E56" s="126" t="n">
        <v>8</v>
      </c>
      <c r="F56" s="126" t="n">
        <v>9</v>
      </c>
      <c r="G56" s="126" t="n">
        <v>13</v>
      </c>
      <c r="H56" s="126" t="n">
        <v>10</v>
      </c>
      <c r="I56" s="126" t="n"/>
      <c r="J56" s="126" t="n">
        <v>8</v>
      </c>
      <c r="K56" s="126" t="n"/>
    </row>
    <row r="57" ht="15" customHeight="1" s="91">
      <c r="A57" s="126" t="n">
        <v>10</v>
      </c>
      <c r="B57" s="126" t="inlineStr">
        <is>
          <t>Yale SOM</t>
        </is>
      </c>
      <c r="C57" s="159" t="n">
        <v>104</v>
      </c>
      <c r="D57" s="126" t="n">
        <v>12</v>
      </c>
      <c r="E57" s="126" t="n">
        <v>25</v>
      </c>
      <c r="F57" s="126" t="n">
        <v>24</v>
      </c>
      <c r="G57" s="126" t="n">
        <v>20</v>
      </c>
      <c r="H57" s="126" t="n">
        <v>17</v>
      </c>
      <c r="I57" s="126" t="n">
        <v>12</v>
      </c>
      <c r="J57" s="126" t="n"/>
      <c r="K57" s="126" t="n"/>
    </row>
    <row r="58" ht="15" customHeight="1" s="91">
      <c r="A58" s="126" t="n">
        <v>11</v>
      </c>
      <c r="B58" s="126" t="inlineStr">
        <is>
          <t>Berkeley Haas</t>
        </is>
      </c>
      <c r="C58" s="159" t="n">
        <v>84</v>
      </c>
      <c r="D58" s="126" t="n">
        <v>9</v>
      </c>
      <c r="E58" s="126" t="n">
        <v>13</v>
      </c>
      <c r="F58" s="126" t="n">
        <v>12</v>
      </c>
      <c r="G58" s="126" t="n">
        <v>11</v>
      </c>
      <c r="H58" s="126" t="n">
        <v>12</v>
      </c>
      <c r="I58" s="126" t="n">
        <v>8</v>
      </c>
      <c r="J58" s="126" t="n"/>
      <c r="K58" s="126" t="n">
        <v>19</v>
      </c>
    </row>
    <row r="59" ht="15" customHeight="1" s="91">
      <c r="A59" s="126" t="n">
        <v>14</v>
      </c>
      <c r="B59" s="126" t="inlineStr">
        <is>
          <t>Duke Fuqua</t>
        </is>
      </c>
      <c r="C59" s="159" t="n">
        <v>95</v>
      </c>
      <c r="D59" s="126" t="n">
        <v>12</v>
      </c>
      <c r="E59" s="126" t="n">
        <v>7</v>
      </c>
      <c r="F59" s="126" t="n">
        <v>20</v>
      </c>
      <c r="G59" s="126" t="n">
        <v>12</v>
      </c>
      <c r="H59" s="126" t="n">
        <v>17</v>
      </c>
      <c r="I59" s="126" t="n">
        <v>17</v>
      </c>
      <c r="J59" s="126" t="n">
        <v>10</v>
      </c>
      <c r="K59" s="126" t="n"/>
    </row>
    <row r="60" ht="15" customHeight="1" s="91">
      <c r="A60" s="126" t="n">
        <v>16</v>
      </c>
      <c r="B60" s="126" t="inlineStr">
        <is>
          <t>UT McCombs</t>
        </is>
      </c>
      <c r="C60" s="159" t="n">
        <v>138</v>
      </c>
      <c r="D60" s="126" t="n">
        <v>22</v>
      </c>
      <c r="E60" s="126" t="n">
        <v>10</v>
      </c>
      <c r="F60" s="126" t="n">
        <v>28</v>
      </c>
      <c r="G60" s="126" t="n">
        <v>20</v>
      </c>
      <c r="H60" s="126" t="n">
        <v>21</v>
      </c>
      <c r="I60" s="126" t="n">
        <v>37</v>
      </c>
      <c r="J60" s="126" t="n"/>
      <c r="K60" s="126" t="n"/>
    </row>
    <row r="61" ht="15" customHeight="1" s="91">
      <c r="A61" s="126" t="n">
        <v>18</v>
      </c>
      <c r="B61" s="126" t="inlineStr">
        <is>
          <t>CMU Tepper</t>
        </is>
      </c>
      <c r="C61" s="159" t="n">
        <v>82</v>
      </c>
      <c r="D61" s="126" t="n">
        <v>5</v>
      </c>
      <c r="E61" s="126" t="n">
        <v>21</v>
      </c>
      <c r="F61" s="126" t="n">
        <v>12</v>
      </c>
      <c r="G61" s="126" t="n"/>
      <c r="H61" s="126" t="n">
        <v>8</v>
      </c>
      <c r="I61" s="126" t="n">
        <v>30</v>
      </c>
      <c r="J61" s="126" t="n">
        <v>6</v>
      </c>
      <c r="K61" s="126" t="n"/>
    </row>
    <row r="62" ht="15" customHeight="1" s="91">
      <c r="A62" s="126" t="n">
        <v>19</v>
      </c>
      <c r="B62" s="126" t="inlineStr">
        <is>
          <t>UCLA Anderson</t>
        </is>
      </c>
      <c r="C62" s="159" t="n">
        <v>68</v>
      </c>
      <c r="D62" s="126" t="n">
        <v>5</v>
      </c>
      <c r="E62" s="126" t="n">
        <v>4</v>
      </c>
      <c r="F62" s="126" t="n">
        <v>12</v>
      </c>
      <c r="G62" s="126" t="n">
        <v>14</v>
      </c>
      <c r="H62" s="126" t="n">
        <v>14</v>
      </c>
      <c r="I62" s="126" t="n">
        <v>9</v>
      </c>
      <c r="J62" s="126" t="n">
        <v>10</v>
      </c>
      <c r="K62" s="126" t="n"/>
    </row>
    <row r="63" ht="15" customHeight="1" s="91">
      <c r="A63" s="126" t="n">
        <v>20</v>
      </c>
      <c r="B63" s="126" t="inlineStr">
        <is>
          <t>Vanderbilt Owen</t>
        </is>
      </c>
      <c r="C63" s="159" t="n">
        <v>49</v>
      </c>
      <c r="D63" s="126" t="n">
        <v>6</v>
      </c>
      <c r="E63" s="126" t="n"/>
      <c r="F63" s="126" t="n">
        <v>10</v>
      </c>
      <c r="G63" s="126" t="n">
        <v>14</v>
      </c>
      <c r="H63" s="126" t="n">
        <v>10</v>
      </c>
      <c r="I63" s="126" t="n">
        <v>8</v>
      </c>
      <c r="J63" s="126" t="n"/>
      <c r="K63" s="126" t="n">
        <v>1</v>
      </c>
    </row>
  </sheetData>
  <mergeCells count="4">
    <mergeCell ref="A3:F3"/>
    <mergeCell ref="A21:F21"/>
    <mergeCell ref="A1:F1"/>
    <mergeCell ref="A41:I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5" customWidth="1" style="90" min="1" max="1"/>
    <col width="20" customWidth="1" style="90" min="2" max="2"/>
    <col width="28" customWidth="1" style="90" min="3" max="3"/>
    <col width="8" customWidth="1" style="90" min="4" max="4"/>
    <col width="42" customWidth="1" style="90" min="5" max="5"/>
    <col width="28" customWidth="1" style="90" min="6" max="6"/>
    <col width="8" customWidth="1" style="90" min="7" max="7"/>
    <col width="42" customWidth="1" style="90" min="8" max="8"/>
    <col width="28" customWidth="1" style="90" min="9" max="9"/>
    <col width="8" customWidth="1" style="90" min="10" max="10"/>
    <col width="42" customWidth="1" style="90" min="11" max="11"/>
    <col width="18" customWidth="1" style="90" min="12" max="12"/>
    <col width="40" customWidth="1" style="90" min="13" max="13"/>
  </cols>
  <sheetData>
    <row r="1" ht="64.5" customHeight="1" s="91">
      <c r="A1" s="164" t="inlineStr">
        <is>
          <t>Rank</t>
        </is>
      </c>
      <c r="B1" s="164" t="inlineStr">
        <is>
          <t>School</t>
        </is>
      </c>
      <c r="C1" s="164" t="inlineStr">
        <is>
          <t>Operations Management Dept</t>
        </is>
      </c>
      <c r="D1" s="164" t="inlineStr">
        <is>
          <t>OM Faculty</t>
        </is>
      </c>
      <c r="E1" s="164" t="inlineStr">
        <is>
          <t>OM URL</t>
        </is>
      </c>
      <c r="F1" s="164" t="inlineStr">
        <is>
          <t>Information Systems Dept</t>
        </is>
      </c>
      <c r="G1" s="164" t="inlineStr">
        <is>
          <t>IS Faculty</t>
        </is>
      </c>
      <c r="H1" s="164" t="inlineStr">
        <is>
          <t>IS URL</t>
        </is>
      </c>
      <c r="I1" s="164" t="inlineStr">
        <is>
          <t>Analytics / Data Science Dept</t>
        </is>
      </c>
      <c r="J1" s="164" t="inlineStr">
        <is>
          <t>Analytics Faculty</t>
        </is>
      </c>
      <c r="K1" s="164" t="inlineStr">
        <is>
          <t>Analytics URL</t>
        </is>
      </c>
      <c r="L1" s="164" t="inlineStr">
        <is>
          <t>Structure</t>
        </is>
      </c>
      <c r="M1" s="164" t="inlineStr">
        <is>
          <t>Notes</t>
        </is>
      </c>
    </row>
    <row r="2" ht="34.5" customHeight="1" s="91">
      <c r="A2" s="165" t="n">
        <v>1</v>
      </c>
      <c r="B2" s="165" t="inlineStr">
        <is>
          <t>Wharton</t>
        </is>
      </c>
      <c r="C2" s="165" t="inlineStr">
        <is>
          <t>OID (combined)</t>
        </is>
      </c>
      <c r="D2" s="165" t="n">
        <v>24</v>
      </c>
      <c r="E2" s="165" t="inlineStr">
        <is>
          <t>https://oid.wharton.upenn.edu/</t>
        </is>
      </c>
      <c r="F2" s="165" t="inlineStr">
        <is>
          <t>OID (combined)</t>
        </is>
      </c>
      <c r="G2" s="165" t="n">
        <v>24</v>
      </c>
      <c r="H2" s="165" t="inlineStr">
        <is>
          <t>https://oid.wharton.upenn.edu/</t>
        </is>
      </c>
      <c r="I2" s="165" t="inlineStr">
        <is>
          <t>Statistics &amp; Data Science</t>
        </is>
      </c>
      <c r="J2" s="165" t="n">
        <v>25</v>
      </c>
      <c r="K2" s="165" t="inlineStr">
        <is>
          <t>https://statistics.wharton.upenn.edu/</t>
        </is>
      </c>
      <c r="L2" s="166" t="inlineStr">
        <is>
          <t>Combined OM+IS+DS in OID; separate Stats dept</t>
        </is>
      </c>
      <c r="M2" s="165" t="inlineStr">
        <is>
          <t>OID covers OM, IS, Decision Processes</t>
        </is>
      </c>
    </row>
    <row r="3" ht="23.25" customHeight="1" s="91">
      <c r="A3" s="167" t="n">
        <v>2</v>
      </c>
      <c r="B3" s="167" t="inlineStr">
        <is>
          <t>Harvard HBS</t>
        </is>
      </c>
      <c r="C3" s="167" t="inlineStr">
        <is>
          <t>Technology &amp; Operations Mgmt (TOM)</t>
        </is>
      </c>
      <c r="D3" s="167" t="n">
        <v>17</v>
      </c>
      <c r="E3" s="167" t="inlineStr">
        <is>
          <t>https://www.hbs.edu/faculty/units/tom/Pages/faculty.aspx</t>
        </is>
      </c>
      <c r="F3" s="167" t="inlineStr">
        <is>
          <t>TOM (combined)</t>
        </is>
      </c>
      <c r="G3" s="167" t="n">
        <v>17</v>
      </c>
      <c r="H3" s="167" t="n"/>
      <c r="I3" s="167" t="inlineStr">
        <is>
          <t>—</t>
        </is>
      </c>
      <c r="J3" s="167" t="inlineStr">
        <is>
          <t>—</t>
        </is>
      </c>
      <c r="K3" s="167" t="n"/>
      <c r="L3" s="166" t="inlineStr">
        <is>
          <t>Combined</t>
        </is>
      </c>
      <c r="M3" s="167" t="inlineStr">
        <is>
          <t>TOM covers operations + technology/IS</t>
        </is>
      </c>
    </row>
    <row r="4" ht="23.25" customHeight="1" s="91">
      <c r="A4" s="165" t="n">
        <v>3</v>
      </c>
      <c r="B4" s="165" t="inlineStr">
        <is>
          <t>Chicago Booth</t>
        </is>
      </c>
      <c r="C4" s="165" t="inlineStr">
        <is>
          <t>Operations Management</t>
        </is>
      </c>
      <c r="D4" s="165" t="n">
        <v>12</v>
      </c>
      <c r="E4" s="165" t="inlineStr">
        <is>
          <t>https://www.chicagobooth.edu/faculty/academic-areas/operations-management</t>
        </is>
      </c>
      <c r="F4" s="165" t="inlineStr">
        <is>
          <t>—</t>
        </is>
      </c>
      <c r="G4" s="165" t="inlineStr">
        <is>
          <t>—</t>
        </is>
      </c>
      <c r="H4" s="165" t="n"/>
      <c r="I4" s="165" t="inlineStr">
        <is>
          <t>—</t>
        </is>
      </c>
      <c r="J4" s="165" t="inlineStr">
        <is>
          <t>—</t>
        </is>
      </c>
      <c r="K4" s="165" t="n"/>
      <c r="L4" s="165" t="inlineStr">
        <is>
          <t>Separate OM only</t>
        </is>
      </c>
      <c r="M4" s="165" t="inlineStr">
        <is>
          <t>No dedicated IS or Analytics dept</t>
        </is>
      </c>
    </row>
    <row r="5" ht="34.5" customHeight="1" s="91">
      <c r="A5" s="167" t="n">
        <v>4</v>
      </c>
      <c r="B5" s="167" t="inlineStr">
        <is>
          <t>Kellogg</t>
        </is>
      </c>
      <c r="C5" s="167" t="inlineStr">
        <is>
          <t>Operations</t>
        </is>
      </c>
      <c r="D5" s="167" t="n">
        <v>13</v>
      </c>
      <c r="E5" s="167" t="inlineStr">
        <is>
          <t>https://www.kellogg.northwestern.edu/faculty/academics/operations.aspx</t>
        </is>
      </c>
      <c r="F5" s="167" t="inlineStr">
        <is>
          <t>—</t>
        </is>
      </c>
      <c r="G5" s="167" t="inlineStr">
        <is>
          <t>—</t>
        </is>
      </c>
      <c r="H5" s="167" t="n"/>
      <c r="I5" s="167" t="inlineStr">
        <is>
          <t>MEDS (includes decision science)</t>
        </is>
      </c>
      <c r="J5" s="167" t="n">
        <v>20</v>
      </c>
      <c r="K5" s="167" t="inlineStr">
        <is>
          <t>https://www.kellogg.northwestern.edu/faculty/academics/managerial-economics-decision-sciences.aspx</t>
        </is>
      </c>
      <c r="L5" s="167" t="inlineStr">
        <is>
          <t>Separate</t>
        </is>
      </c>
      <c r="M5" s="167" t="inlineStr">
        <is>
          <t>MEDS covers decision sciences and economics</t>
        </is>
      </c>
    </row>
    <row r="6" ht="23.25" customHeight="1" s="91">
      <c r="A6" s="165" t="n">
        <v>5</v>
      </c>
      <c r="B6" s="165" t="inlineStr">
        <is>
          <t>MIT Sloan</t>
        </is>
      </c>
      <c r="C6" s="165" t="inlineStr">
        <is>
          <t>Operations Management</t>
        </is>
      </c>
      <c r="D6" s="165" t="n">
        <v>11</v>
      </c>
      <c r="E6" s="165" t="inlineStr">
        <is>
          <t>https://mitsloan.mit.edu/faculty/academic-groups/operations-management</t>
        </is>
      </c>
      <c r="F6" s="165" t="inlineStr">
        <is>
          <t>Information Technology</t>
        </is>
      </c>
      <c r="G6" s="165" t="n">
        <v>13</v>
      </c>
      <c r="H6" s="165" t="inlineStr">
        <is>
          <t>https://mitsloan.mit.edu/faculty/academic-groups/information-technology</t>
        </is>
      </c>
      <c r="I6" s="165" t="inlineStr">
        <is>
          <t>Operations Research &amp; Statistics</t>
        </is>
      </c>
      <c r="J6" s="165" t="n">
        <v>14</v>
      </c>
      <c r="K6" s="165" t="inlineStr">
        <is>
          <t>https://mitsloan.mit.edu/faculty/academic-groups/operations-research-statistics</t>
        </is>
      </c>
      <c r="L6" s="165" t="inlineStr">
        <is>
          <t>All separate</t>
        </is>
      </c>
      <c r="M6" s="165" t="inlineStr">
        <is>
          <t>Three distinct groups</t>
        </is>
      </c>
    </row>
    <row r="7" ht="34.5" customHeight="1" s="91">
      <c r="A7" s="167" t="n">
        <v>6</v>
      </c>
      <c r="B7" s="167" t="inlineStr">
        <is>
          <t>Stanford GSB</t>
        </is>
      </c>
      <c r="C7" s="167" t="inlineStr">
        <is>
          <t>OIT (combined)</t>
        </is>
      </c>
      <c r="D7" s="167" t="n">
        <v>11</v>
      </c>
      <c r="E7" s="167" t="inlineStr">
        <is>
          <t>https://www.gsb.stanford.edu/faculty-research/faculty/academic-areas/operations-information-technology</t>
        </is>
      </c>
      <c r="F7" s="167" t="inlineStr">
        <is>
          <t>OIT (combined)</t>
        </is>
      </c>
      <c r="G7" s="167" t="n">
        <v>11</v>
      </c>
      <c r="H7" s="167" t="n"/>
      <c r="I7" s="167" t="inlineStr">
        <is>
          <t>—</t>
        </is>
      </c>
      <c r="J7" s="167" t="inlineStr">
        <is>
          <t>—</t>
        </is>
      </c>
      <c r="K7" s="167" t="n"/>
      <c r="L7" s="166" t="inlineStr">
        <is>
          <t>Combined</t>
        </is>
      </c>
      <c r="M7" s="167" t="inlineStr">
        <is>
          <t>OIT covers operations + IS + technology</t>
        </is>
      </c>
    </row>
    <row r="8" ht="15" customHeight="1" s="91">
      <c r="A8" s="165" t="n">
        <v>7</v>
      </c>
      <c r="B8" s="165" t="inlineStr">
        <is>
          <t>Columbia CBS</t>
        </is>
      </c>
      <c r="C8" s="165" t="inlineStr">
        <is>
          <t>DRO (combined)</t>
        </is>
      </c>
      <c r="D8" s="165" t="n">
        <v>17</v>
      </c>
      <c r="E8" s="165" t="inlineStr">
        <is>
          <t>https://business.columbia.edu/faculty/divisions/dro</t>
        </is>
      </c>
      <c r="F8" s="165" t="inlineStr">
        <is>
          <t>DRO (combined)</t>
        </is>
      </c>
      <c r="G8" s="165" t="n">
        <v>17</v>
      </c>
      <c r="H8" s="165" t="n"/>
      <c r="I8" s="165" t="inlineStr">
        <is>
          <t>DRO (combined)</t>
        </is>
      </c>
      <c r="J8" s="165" t="n">
        <v>17</v>
      </c>
      <c r="K8" s="165" t="n"/>
      <c r="L8" s="166" t="inlineStr">
        <is>
          <t>Combined</t>
        </is>
      </c>
      <c r="M8" s="165" t="inlineStr">
        <is>
          <t>DRO covers decision sciences, risk, operations</t>
        </is>
      </c>
    </row>
    <row r="9" ht="34.5" customHeight="1" s="91">
      <c r="A9" s="167" t="n">
        <v>8</v>
      </c>
      <c r="B9" s="167" t="inlineStr">
        <is>
          <t>NYU Stern</t>
        </is>
      </c>
      <c r="C9" s="167" t="inlineStr">
        <is>
          <t>TOPS (combined)</t>
        </is>
      </c>
      <c r="D9" s="167" t="n">
        <v>17</v>
      </c>
      <c r="E9" s="167" t="inlineStr">
        <is>
          <t>https://www.stern.nyu.edu/experience-stern/about/departments-centers-initiatives/academic-departments/tops</t>
        </is>
      </c>
      <c r="F9" s="167" t="inlineStr">
        <is>
          <t>TOPS (combined)</t>
        </is>
      </c>
      <c r="G9" s="167" t="n">
        <v>17</v>
      </c>
      <c r="H9" s="167" t="n"/>
      <c r="I9" s="167" t="inlineStr">
        <is>
          <t>TOPS (combined)</t>
        </is>
      </c>
      <c r="J9" s="167" t="n">
        <v>17</v>
      </c>
      <c r="K9" s="167" t="n"/>
      <c r="L9" s="166" t="inlineStr">
        <is>
          <t>Combined</t>
        </is>
      </c>
      <c r="M9" s="167" t="inlineStr">
        <is>
          <t>TOPS covers technology, operations, statistics</t>
        </is>
      </c>
    </row>
    <row r="10" ht="23.25" customHeight="1" s="91">
      <c r="A10" s="165" t="n">
        <v>9</v>
      </c>
      <c r="B10" s="165" t="inlineStr">
        <is>
          <t>Dartmouth Tuck</t>
        </is>
      </c>
      <c r="C10" s="165" t="inlineStr">
        <is>
          <t>Operations Mgmt &amp; Mgmt Science</t>
        </is>
      </c>
      <c r="D10" s="165" t="n">
        <v>5</v>
      </c>
      <c r="E10" s="165" t="inlineStr">
        <is>
          <t>https://www.tuck.dartmouth.edu/faculty/academic-groups/operations-management</t>
        </is>
      </c>
      <c r="F10" s="165" t="inlineStr">
        <is>
          <t>—</t>
        </is>
      </c>
      <c r="G10" s="165" t="inlineStr">
        <is>
          <t>—</t>
        </is>
      </c>
      <c r="H10" s="165" t="n"/>
      <c r="I10" s="165" t="inlineStr">
        <is>
          <t>—</t>
        </is>
      </c>
      <c r="J10" s="165" t="inlineStr">
        <is>
          <t>—</t>
        </is>
      </c>
      <c r="K10" s="165" t="n"/>
      <c r="L10" s="165" t="inlineStr">
        <is>
          <t>Single OM dept</t>
        </is>
      </c>
      <c r="M10" s="165" t="n"/>
    </row>
    <row r="11" ht="23.25" customHeight="1" s="91">
      <c r="A11" s="167" t="n">
        <v>10</v>
      </c>
      <c r="B11" s="167" t="inlineStr">
        <is>
          <t>Yale SOM</t>
        </is>
      </c>
      <c r="C11" s="167" t="inlineStr">
        <is>
          <t>Operations</t>
        </is>
      </c>
      <c r="D11" s="167" t="n">
        <v>6</v>
      </c>
      <c r="E11" s="167" t="inlineStr">
        <is>
          <t>https://som.yale.edu/faculty-research/disciplines/operations</t>
        </is>
      </c>
      <c r="F11" s="167" t="inlineStr">
        <is>
          <t>—</t>
        </is>
      </c>
      <c r="G11" s="167" t="inlineStr">
        <is>
          <t>—</t>
        </is>
      </c>
      <c r="H11" s="167" t="n"/>
      <c r="I11" s="167" t="inlineStr">
        <is>
          <t>—</t>
        </is>
      </c>
      <c r="J11" s="167" t="inlineStr">
        <is>
          <t>—</t>
        </is>
      </c>
      <c r="K11" s="167" t="n"/>
      <c r="L11" s="167" t="inlineStr">
        <is>
          <t>Single OM area</t>
        </is>
      </c>
      <c r="M11" s="167" t="n"/>
    </row>
    <row r="12" ht="23.25" customHeight="1" s="91">
      <c r="A12" s="165" t="n">
        <v>11</v>
      </c>
      <c r="B12" s="165" t="inlineStr">
        <is>
          <t>Berkeley Haas</t>
        </is>
      </c>
      <c r="C12" s="165" t="inlineStr">
        <is>
          <t>OITM (combined)</t>
        </is>
      </c>
      <c r="D12" s="165" t="inlineStr">
        <is>
          <t>—</t>
        </is>
      </c>
      <c r="E12" s="165" t="inlineStr">
        <is>
          <t>https://haas.berkeley.edu/oitm/</t>
        </is>
      </c>
      <c r="F12" s="165" t="inlineStr">
        <is>
          <t>OITM (combined)</t>
        </is>
      </c>
      <c r="G12" s="165" t="inlineStr">
        <is>
          <t>—</t>
        </is>
      </c>
      <c r="H12" s="165" t="inlineStr">
        <is>
          <t>https://haas.berkeley.edu/oitm/</t>
        </is>
      </c>
      <c r="I12" s="165" t="inlineStr">
        <is>
          <t>—</t>
        </is>
      </c>
      <c r="J12" s="165" t="inlineStr">
        <is>
          <t>—</t>
        </is>
      </c>
      <c r="K12" s="165" t="n"/>
      <c r="L12" s="166" t="inlineStr">
        <is>
          <t>Combined</t>
        </is>
      </c>
      <c r="M12" s="165" t="inlineStr">
        <is>
          <t>OITM = Operations &amp; IT Management. MISSING from original spreadsheet</t>
        </is>
      </c>
    </row>
    <row r="13" ht="34.5" customHeight="1" s="91">
      <c r="A13" s="167" t="n">
        <v>12</v>
      </c>
      <c r="B13" s="167" t="inlineStr">
        <is>
          <t>UVA Darden</t>
        </is>
      </c>
      <c r="C13" s="167" t="inlineStr">
        <is>
          <t>Technology &amp; Operations Mgmt</t>
        </is>
      </c>
      <c r="D13" s="167" t="n">
        <v>9</v>
      </c>
      <c r="E13" s="167" t="inlineStr">
        <is>
          <t>https://www.darden.virginia.edu/faculty-research/academic-areas/technology-operations-management</t>
        </is>
      </c>
      <c r="F13" s="167" t="inlineStr">
        <is>
          <t>—</t>
        </is>
      </c>
      <c r="G13" s="167" t="inlineStr">
        <is>
          <t>—</t>
        </is>
      </c>
      <c r="H13" s="167" t="n"/>
      <c r="I13" s="167" t="inlineStr">
        <is>
          <t>Data Analytics &amp; Decision Sciences (DADS)</t>
        </is>
      </c>
      <c r="J13" s="167" t="n">
        <v>8</v>
      </c>
      <c r="K13" s="167" t="inlineStr">
        <is>
          <t>https://www.darden.virginia.edu/faculty-research/academic-areas/data-analytics-decision-sciences</t>
        </is>
      </c>
      <c r="L13" s="167" t="inlineStr">
        <is>
          <t>Separate</t>
        </is>
      </c>
      <c r="M13" s="167" t="inlineStr">
        <is>
          <t>Two distinct areas</t>
        </is>
      </c>
    </row>
    <row r="14" ht="23.25" customHeight="1" s="91">
      <c r="A14" s="165" t="n">
        <v>13</v>
      </c>
      <c r="B14" s="165" t="inlineStr">
        <is>
          <t>Michigan Ross</t>
        </is>
      </c>
      <c r="C14" s="165" t="inlineStr">
        <is>
          <t>Technology &amp; Operations</t>
        </is>
      </c>
      <c r="D14" s="165" t="n">
        <v>8</v>
      </c>
      <c r="E14" s="165" t="inlineStr">
        <is>
          <t>https://michiganross.umich.edu/faculty-research/areas-of-study/technology-operations</t>
        </is>
      </c>
      <c r="F14" s="165" t="inlineStr">
        <is>
          <t>T&amp;O (combined)</t>
        </is>
      </c>
      <c r="G14" s="165" t="n">
        <v>8</v>
      </c>
      <c r="H14" s="165" t="n"/>
      <c r="I14" s="165" t="inlineStr">
        <is>
          <t>—</t>
        </is>
      </c>
      <c r="J14" s="165" t="inlineStr">
        <is>
          <t>—</t>
        </is>
      </c>
      <c r="K14" s="165" t="n"/>
      <c r="L14" s="166" t="inlineStr">
        <is>
          <t>Combined</t>
        </is>
      </c>
      <c r="M14" s="165" t="inlineStr">
        <is>
          <t>T&amp;O covers operations + technology</t>
        </is>
      </c>
    </row>
    <row r="15" ht="23.25" customHeight="1" s="91">
      <c r="A15" s="167" t="n">
        <v>14</v>
      </c>
      <c r="B15" s="167" t="inlineStr">
        <is>
          <t>Duke Fuqua</t>
        </is>
      </c>
      <c r="C15" s="167" t="inlineStr">
        <is>
          <t>Operations Management</t>
        </is>
      </c>
      <c r="D15" s="167" t="n">
        <v>6</v>
      </c>
      <c r="E15" s="167" t="inlineStr">
        <is>
          <t>https://areas.fuqua.duke.edu/operations-management/</t>
        </is>
      </c>
      <c r="F15" s="167" t="inlineStr">
        <is>
          <t>—</t>
        </is>
      </c>
      <c r="G15" s="167" t="inlineStr">
        <is>
          <t>—</t>
        </is>
      </c>
      <c r="H15" s="167" t="n"/>
      <c r="I15" s="167" t="inlineStr">
        <is>
          <t>Decision Sciences</t>
        </is>
      </c>
      <c r="J15" s="167" t="n">
        <v>5</v>
      </c>
      <c r="K15" s="167" t="inlineStr">
        <is>
          <t>https://areas.fuqua.duke.edu/decision-sciences/</t>
        </is>
      </c>
      <c r="L15" s="167" t="inlineStr">
        <is>
          <t>Separate</t>
        </is>
      </c>
      <c r="M15" s="167" t="inlineStr">
        <is>
          <t>Two separate areas</t>
        </is>
      </c>
    </row>
    <row r="16" ht="34.5" customHeight="1" s="91">
      <c r="A16" s="165" t="n">
        <v>15</v>
      </c>
      <c r="B16" s="165" t="inlineStr">
        <is>
          <t>Cornell Johnson</t>
        </is>
      </c>
      <c r="C16" s="165" t="inlineStr">
        <is>
          <t>OTIM (combined)</t>
        </is>
      </c>
      <c r="D16" s="165" t="n">
        <v>5</v>
      </c>
      <c r="E16" s="165" t="inlineStr">
        <is>
          <t>https://business.cornell.edu/faculty-research/areas/operations-technology-and-information-management/</t>
        </is>
      </c>
      <c r="F16" s="165" t="inlineStr">
        <is>
          <t>OTIM (combined)</t>
        </is>
      </c>
      <c r="G16" s="165" t="n">
        <v>5</v>
      </c>
      <c r="H16" s="165" t="n"/>
      <c r="I16" s="165" t="inlineStr">
        <is>
          <t>—</t>
        </is>
      </c>
      <c r="J16" s="165" t="inlineStr">
        <is>
          <t>—</t>
        </is>
      </c>
      <c r="K16" s="165" t="n"/>
      <c r="L16" s="166" t="inlineStr">
        <is>
          <t>Combined</t>
        </is>
      </c>
      <c r="M16" s="165" t="inlineStr">
        <is>
          <t>OTIM covers operations, technology, IS</t>
        </is>
      </c>
    </row>
    <row r="17" ht="23.25" customHeight="1" s="91">
      <c r="A17" s="167" t="n">
        <v>16</v>
      </c>
      <c r="B17" s="167" t="inlineStr">
        <is>
          <t>UT McCombs</t>
        </is>
      </c>
      <c r="C17" s="167" t="inlineStr">
        <is>
          <t>IROM (combined)</t>
        </is>
      </c>
      <c r="D17" s="167" t="n">
        <v>12</v>
      </c>
      <c r="E17" s="167" t="inlineStr">
        <is>
          <t>https://www.mccombs.utexas.edu/faculty-research/departments/irom/</t>
        </is>
      </c>
      <c r="F17" s="167" t="inlineStr">
        <is>
          <t>IROM (combined)</t>
        </is>
      </c>
      <c r="G17" s="167" t="n">
        <v>12</v>
      </c>
      <c r="H17" s="167" t="n"/>
      <c r="I17" s="167" t="inlineStr">
        <is>
          <t>IROM (combined)</t>
        </is>
      </c>
      <c r="J17" s="167" t="n">
        <v>12</v>
      </c>
      <c r="K17" s="167" t="n"/>
      <c r="L17" s="166" t="inlineStr">
        <is>
          <t>Combined</t>
        </is>
      </c>
      <c r="M17" s="167" t="inlineStr">
        <is>
          <t>IROM covers IS, risk, operations</t>
        </is>
      </c>
    </row>
    <row r="18" ht="15" customHeight="1" s="91">
      <c r="A18" s="165" t="n">
        <v>17</v>
      </c>
      <c r="B18" s="165" t="inlineStr">
        <is>
          <t>Emory Goizueta</t>
        </is>
      </c>
      <c r="C18" s="165" t="inlineStr">
        <is>
          <t>ISOM (combined)</t>
        </is>
      </c>
      <c r="D18" s="165" t="n">
        <v>8</v>
      </c>
      <c r="E18" s="165" t="inlineStr">
        <is>
          <t>https://goizueta.emory.edu/faculty/isom</t>
        </is>
      </c>
      <c r="F18" s="165" t="inlineStr">
        <is>
          <t>ISOM (combined)</t>
        </is>
      </c>
      <c r="G18" s="165" t="n">
        <v>8</v>
      </c>
      <c r="H18" s="165" t="n"/>
      <c r="I18" s="165" t="inlineStr">
        <is>
          <t>—</t>
        </is>
      </c>
      <c r="J18" s="165" t="inlineStr">
        <is>
          <t>—</t>
        </is>
      </c>
      <c r="K18" s="165" t="n"/>
      <c r="L18" s="166" t="inlineStr">
        <is>
          <t>Combined</t>
        </is>
      </c>
      <c r="M18" s="165" t="inlineStr">
        <is>
          <t>ISOM covers IS + OM</t>
        </is>
      </c>
    </row>
    <row r="19" ht="23.25" customHeight="1" s="91">
      <c r="A19" s="167" t="n">
        <v>18</v>
      </c>
      <c r="B19" s="167" t="inlineStr">
        <is>
          <t>CMU Tepper</t>
        </is>
      </c>
      <c r="C19" s="167" t="inlineStr">
        <is>
          <t>Operations Management</t>
        </is>
      </c>
      <c r="D19" s="167" t="n">
        <v>7</v>
      </c>
      <c r="E19" s="167" t="inlineStr">
        <is>
          <t>https://www.cmu.edu/tepper/faculty-and-research/academic-areas/operations-management/</t>
        </is>
      </c>
      <c r="F19" s="167" t="inlineStr">
        <is>
          <t>—</t>
        </is>
      </c>
      <c r="G19" s="167" t="inlineStr">
        <is>
          <t>—</t>
        </is>
      </c>
      <c r="H19" s="167" t="n"/>
      <c r="I19" s="167" t="inlineStr">
        <is>
          <t>Operations Research</t>
        </is>
      </c>
      <c r="J19" s="167" t="n">
        <v>5</v>
      </c>
      <c r="K19" s="167" t="inlineStr">
        <is>
          <t>https://www.cmu.edu/tepper/faculty-and-research/academic-areas/operations-research/</t>
        </is>
      </c>
      <c r="L19" s="167" t="inlineStr">
        <is>
          <t>Separate</t>
        </is>
      </c>
      <c r="M19" s="167" t="inlineStr">
        <is>
          <t>Two distinct areas</t>
        </is>
      </c>
    </row>
    <row r="20" ht="34.5" customHeight="1" s="91">
      <c r="A20" s="165" t="n">
        <v>19</v>
      </c>
      <c r="B20" s="165" t="inlineStr">
        <is>
          <t>UCLA Anderson</t>
        </is>
      </c>
      <c r="C20" s="165" t="inlineStr">
        <is>
          <t>DOTM (combined)</t>
        </is>
      </c>
      <c r="D20" s="165" t="n">
        <v>5</v>
      </c>
      <c r="E20" s="165" t="inlineStr">
        <is>
          <t>https://www.anderson.ucla.edu/faculty-and-research/decisions-operations-and-technology-management</t>
        </is>
      </c>
      <c r="F20" s="165" t="inlineStr">
        <is>
          <t>DOTM (combined)</t>
        </is>
      </c>
      <c r="G20" s="165" t="n">
        <v>5</v>
      </c>
      <c r="H20" s="165" t="n"/>
      <c r="I20" s="165" t="inlineStr">
        <is>
          <t>Behavioral Decision Making</t>
        </is>
      </c>
      <c r="J20" s="165" t="n">
        <v>5</v>
      </c>
      <c r="K20" s="165" t="inlineStr">
        <is>
          <t>https://www.anderson.ucla.edu/faculty-and-research/behavioral-decision-making</t>
        </is>
      </c>
      <c r="L20" s="165" t="inlineStr">
        <is>
          <t>Partial combined</t>
        </is>
      </c>
      <c r="M20" s="165" t="inlineStr">
        <is>
          <t>DOTM covers decisions + ops + tech; BDM is separate</t>
        </is>
      </c>
    </row>
    <row r="21" ht="23.25" customHeight="1" s="91">
      <c r="A21" s="167" t="n">
        <v>20</v>
      </c>
      <c r="B21" s="167" t="inlineStr">
        <is>
          <t>Vanderbilt Owen</t>
        </is>
      </c>
      <c r="C21" s="167" t="inlineStr">
        <is>
          <t>Operations Management</t>
        </is>
      </c>
      <c r="D21" s="167" t="n">
        <v>5</v>
      </c>
      <c r="E21" s="167" t="inlineStr">
        <is>
          <t>https://business.vanderbilt.edu/our-school/faculty/operations/</t>
        </is>
      </c>
      <c r="F21" s="167" t="inlineStr">
        <is>
          <t>—</t>
        </is>
      </c>
      <c r="G21" s="167" t="inlineStr">
        <is>
          <t>—</t>
        </is>
      </c>
      <c r="H21" s="167" t="n"/>
      <c r="I21" s="167" t="inlineStr">
        <is>
          <t>—</t>
        </is>
      </c>
      <c r="J21" s="167" t="inlineStr">
        <is>
          <t>—</t>
        </is>
      </c>
      <c r="K21" s="167" t="n"/>
      <c r="L21" s="167" t="inlineStr">
        <is>
          <t>Single OM dept</t>
        </is>
      </c>
      <c r="M21" s="167" t="n"/>
    </row>
    <row r="22" ht="23.25" customHeight="1" s="91">
      <c r="A22" s="165" t="n">
        <v>21</v>
      </c>
      <c r="B22" s="165" t="inlineStr">
        <is>
          <t>WashU Olin</t>
        </is>
      </c>
      <c r="C22" s="165" t="inlineStr">
        <is>
          <t>SCOT (combined)</t>
        </is>
      </c>
      <c r="D22" s="165" t="n">
        <v>8</v>
      </c>
      <c r="E22" s="165" t="inlineStr">
        <is>
          <t>https://olin.wustl.edu/faculty-research/academic-areas/supply-chain-operations-technology/</t>
        </is>
      </c>
      <c r="F22" s="165" t="inlineStr">
        <is>
          <t>—</t>
        </is>
      </c>
      <c r="G22" s="165" t="inlineStr">
        <is>
          <t>—</t>
        </is>
      </c>
      <c r="H22" s="165" t="n"/>
      <c r="I22" s="165" t="inlineStr">
        <is>
          <t>—</t>
        </is>
      </c>
      <c r="J22" s="165" t="inlineStr">
        <is>
          <t>—</t>
        </is>
      </c>
      <c r="K22" s="165" t="n"/>
      <c r="L22" s="166" t="inlineStr">
        <is>
          <t>Combined</t>
        </is>
      </c>
      <c r="M22" s="165" t="inlineStr">
        <is>
          <t>SCOT = Supply Chain, Operations &amp; Technology</t>
        </is>
      </c>
    </row>
    <row r="23" ht="23.25" customHeight="1" s="91">
      <c r="A23" s="167" t="n">
        <v>22</v>
      </c>
      <c r="B23" s="167" t="inlineStr">
        <is>
          <t>Georgetown McDonough</t>
        </is>
      </c>
      <c r="C23" s="167" t="inlineStr">
        <is>
          <t>OPAN (combined)</t>
        </is>
      </c>
      <c r="D23" s="167" t="n">
        <v>7</v>
      </c>
      <c r="E23" s="167" t="inlineStr">
        <is>
          <t>https://msb.georgetown.edu/faculty-research/operations-analytics/</t>
        </is>
      </c>
      <c r="F23" s="167" t="inlineStr">
        <is>
          <t>—</t>
        </is>
      </c>
      <c r="G23" s="167" t="inlineStr">
        <is>
          <t>—</t>
        </is>
      </c>
      <c r="H23" s="167" t="n"/>
      <c r="I23" s="167" t="inlineStr">
        <is>
          <t>OPAN (combined)</t>
        </is>
      </c>
      <c r="J23" s="167" t="n">
        <v>7</v>
      </c>
      <c r="K23" s="167" t="n"/>
      <c r="L23" s="166" t="inlineStr">
        <is>
          <t>Combined</t>
        </is>
      </c>
      <c r="M23" s="167" t="inlineStr">
        <is>
          <t>OPAN covers operations + analytics</t>
        </is>
      </c>
    </row>
    <row r="24" ht="23.25" customHeight="1" s="91">
      <c r="A24" s="165" t="n">
        <v>23</v>
      </c>
      <c r="B24" s="165" t="inlineStr">
        <is>
          <t>Indiana Kelley</t>
        </is>
      </c>
      <c r="C24" s="165" t="inlineStr">
        <is>
          <t>ODT (combined)</t>
        </is>
      </c>
      <c r="D24" s="165" t="n">
        <v>5</v>
      </c>
      <c r="E24" s="165" t="inlineStr">
        <is>
          <t>https://kelley.iu.edu/faculty-research/departments/operations-decision-technologies/</t>
        </is>
      </c>
      <c r="F24" s="165" t="inlineStr">
        <is>
          <t>ODT sub-area</t>
        </is>
      </c>
      <c r="G24" s="165" t="n">
        <v>5</v>
      </c>
      <c r="H24" s="165" t="n"/>
      <c r="I24" s="165" t="inlineStr">
        <is>
          <t>ODT sub-area</t>
        </is>
      </c>
      <c r="J24" s="165" t="n">
        <v>5</v>
      </c>
      <c r="K24" s="165" t="n"/>
      <c r="L24" s="166" t="inlineStr">
        <is>
          <t>Combined w/ sub-areas</t>
        </is>
      </c>
      <c r="M24" s="165" t="inlineStr">
        <is>
          <t>ODT has sub-groups: OM, IS, Analytics</t>
        </is>
      </c>
    </row>
    <row r="25" ht="23.25" customHeight="1" s="91">
      <c r="A25" s="167" t="n">
        <v>24</v>
      </c>
      <c r="B25" s="167" t="inlineStr">
        <is>
          <t>UNC Kenan-Flagler</t>
        </is>
      </c>
      <c r="C25" s="167" t="inlineStr">
        <is>
          <t>Operations</t>
        </is>
      </c>
      <c r="D25" s="167" t="n">
        <v>5</v>
      </c>
      <c r="E25" s="167" t="inlineStr">
        <is>
          <t>https://www.kenan-flagler.unc.edu/faculty/academic-areas/operations/</t>
        </is>
      </c>
      <c r="F25" s="167" t="inlineStr">
        <is>
          <t>—</t>
        </is>
      </c>
      <c r="G25" s="167" t="inlineStr">
        <is>
          <t>—</t>
        </is>
      </c>
      <c r="H25" s="167" t="n"/>
      <c r="I25" s="167" t="inlineStr">
        <is>
          <t>—</t>
        </is>
      </c>
      <c r="J25" s="167" t="inlineStr">
        <is>
          <t>—</t>
        </is>
      </c>
      <c r="K25" s="167" t="n"/>
      <c r="L25" s="167" t="inlineStr">
        <is>
          <t>Single OM area</t>
        </is>
      </c>
      <c r="M25" s="167" t="n"/>
    </row>
    <row r="26" ht="34.5" customHeight="1" s="91">
      <c r="A26" s="165" t="n">
        <v>25</v>
      </c>
      <c r="B26" s="165" t="inlineStr">
        <is>
          <t>Notre Dame Mendoza</t>
        </is>
      </c>
      <c r="C26" s="165" t="inlineStr">
        <is>
          <t>ITAO (combined)</t>
        </is>
      </c>
      <c r="D26" s="165" t="n">
        <v>10</v>
      </c>
      <c r="E26" s="165" t="inlineStr">
        <is>
          <t>https://mendoza.nd.edu/research-faculty/academic-departments/information-technology-analytics-operations/</t>
        </is>
      </c>
      <c r="F26" s="165" t="inlineStr">
        <is>
          <t>ITAO (combined)</t>
        </is>
      </c>
      <c r="G26" s="165" t="n">
        <v>10</v>
      </c>
      <c r="H26" s="165" t="n"/>
      <c r="I26" s="165" t="inlineStr">
        <is>
          <t>ITAO (combined)</t>
        </is>
      </c>
      <c r="J26" s="165" t="n">
        <v>10</v>
      </c>
      <c r="K26" s="165" t="n"/>
      <c r="L26" s="166" t="inlineStr">
        <is>
          <t>Combined</t>
        </is>
      </c>
      <c r="M26" s="165" t="inlineStr">
        <is>
          <t>ITAO covers IT, Analytics, Operations</t>
        </is>
      </c>
    </row>
    <row r="27" ht="23.25" customHeight="1" s="91">
      <c r="A27" s="167" t="n">
        <v>26</v>
      </c>
      <c r="B27" s="167" t="inlineStr">
        <is>
          <t>USC Marshall</t>
        </is>
      </c>
      <c r="C27" s="167" t="inlineStr">
        <is>
          <t>DSO (combined)</t>
        </is>
      </c>
      <c r="D27" s="167" t="n">
        <v>11</v>
      </c>
      <c r="E27" s="167" t="inlineStr">
        <is>
          <t>https://www.marshall.usc.edu/departments/data-sciences-and-operations</t>
        </is>
      </c>
      <c r="F27" s="167" t="inlineStr">
        <is>
          <t>DSO (combined)</t>
        </is>
      </c>
      <c r="G27" s="167" t="n">
        <v>11</v>
      </c>
      <c r="H27" s="167" t="n"/>
      <c r="I27" s="167" t="inlineStr">
        <is>
          <t>DSO (combined)</t>
        </is>
      </c>
      <c r="J27" s="167" t="n">
        <v>11</v>
      </c>
      <c r="K27" s="167" t="n"/>
      <c r="L27" s="166" t="inlineStr">
        <is>
          <t>Combined</t>
        </is>
      </c>
      <c r="M27" s="167" t="inlineStr">
        <is>
          <t>DSO covers data sciences + operations</t>
        </is>
      </c>
    </row>
    <row r="28" ht="23.25" customHeight="1" s="91">
      <c r="A28" s="165" t="n">
        <v>27</v>
      </c>
      <c r="B28" s="165" t="inlineStr">
        <is>
          <t>Rice Jones</t>
        </is>
      </c>
      <c r="C28" s="165" t="inlineStr">
        <is>
          <t>Operations Management</t>
        </is>
      </c>
      <c r="D28" s="165" t="n">
        <v>7</v>
      </c>
      <c r="E28" s="165" t="inlineStr">
        <is>
          <t>https://business.rice.edu/faculty-research/research/operations-management</t>
        </is>
      </c>
      <c r="F28" s="165" t="inlineStr">
        <is>
          <t>—</t>
        </is>
      </c>
      <c r="G28" s="165" t="inlineStr">
        <is>
          <t>—</t>
        </is>
      </c>
      <c r="H28" s="165" t="n"/>
      <c r="I28" s="165" t="inlineStr">
        <is>
          <t>—</t>
        </is>
      </c>
      <c r="J28" s="165" t="inlineStr">
        <is>
          <t>—</t>
        </is>
      </c>
      <c r="K28" s="165" t="n"/>
      <c r="L28" s="165" t="inlineStr">
        <is>
          <t>Single OM dept</t>
        </is>
      </c>
      <c r="M28" s="165" t="n"/>
    </row>
    <row r="29" ht="23.25" customHeight="1" s="91">
      <c r="A29" s="167" t="n">
        <v>28</v>
      </c>
      <c r="B29" s="167" t="inlineStr">
        <is>
          <t>Minnesota Carlson</t>
        </is>
      </c>
      <c r="C29" s="167" t="inlineStr">
        <is>
          <t>Supply Chain &amp; Operations</t>
        </is>
      </c>
      <c r="D29" s="167" t="n">
        <v>14</v>
      </c>
      <c r="E29" s="167" t="inlineStr">
        <is>
          <t>https://carlsonschool.umn.edu/departments/supply-chain-operations/</t>
        </is>
      </c>
      <c r="F29" s="167" t="inlineStr">
        <is>
          <t>Information &amp; Decision Sciences</t>
        </is>
      </c>
      <c r="G29" s="167" t="n">
        <v>16</v>
      </c>
      <c r="H29" s="167" t="inlineStr">
        <is>
          <t>https://carlsonschool.umn.edu/departments/information-decision-sciences/</t>
        </is>
      </c>
      <c r="I29" s="167" t="inlineStr">
        <is>
          <t>—</t>
        </is>
      </c>
      <c r="J29" s="167" t="inlineStr">
        <is>
          <t>—</t>
        </is>
      </c>
      <c r="K29" s="167" t="n"/>
      <c r="L29" s="167" t="inlineStr">
        <is>
          <t>Separate</t>
        </is>
      </c>
      <c r="M29" s="167" t="inlineStr">
        <is>
          <t>Two distinct departments</t>
        </is>
      </c>
    </row>
    <row r="30" ht="23.25" customHeight="1" s="91">
      <c r="A30" s="165" t="n">
        <v>29</v>
      </c>
      <c r="B30" s="165" t="inlineStr">
        <is>
          <t>Ohio State Fisher</t>
        </is>
      </c>
      <c r="C30" s="165" t="inlineStr">
        <is>
          <t>Management Sciences</t>
        </is>
      </c>
      <c r="D30" s="165" t="n">
        <v>8</v>
      </c>
      <c r="E30" s="165" t="inlineStr">
        <is>
          <t>https://fisher.osu.edu/academic-departments/management-sciences</t>
        </is>
      </c>
      <c r="F30" s="165" t="inlineStr">
        <is>
          <t>Acct &amp; MIS (combined w/ Acct)</t>
        </is>
      </c>
      <c r="G30" s="165" t="n">
        <v>7</v>
      </c>
      <c r="H30" s="165" t="inlineStr">
        <is>
          <t>https://fisher.osu.edu/academic-departments/amis/</t>
        </is>
      </c>
      <c r="I30" s="165" t="inlineStr">
        <is>
          <t>—</t>
        </is>
      </c>
      <c r="J30" s="165" t="inlineStr">
        <is>
          <t>—</t>
        </is>
      </c>
      <c r="K30" s="165" t="n"/>
      <c r="L30" s="165" t="inlineStr">
        <is>
          <t>Separate</t>
        </is>
      </c>
      <c r="M30" s="165" t="inlineStr">
        <is>
          <t>MIS is combined with Accounting</t>
        </is>
      </c>
    </row>
    <row r="31" ht="23.25" customHeight="1" s="91">
      <c r="A31" s="167" t="n">
        <v>30</v>
      </c>
      <c r="B31" s="167" t="inlineStr">
        <is>
          <t>GT Scheller</t>
        </is>
      </c>
      <c r="C31" s="167" t="inlineStr">
        <is>
          <t>Operations Management</t>
        </is>
      </c>
      <c r="D31" s="167" t="n">
        <v>5</v>
      </c>
      <c r="E31" s="167" t="inlineStr">
        <is>
          <t>https://www.scheller.gatech.edu/academics-research/operations-management/</t>
        </is>
      </c>
      <c r="F31" s="167" t="inlineStr">
        <is>
          <t>Information Technology Management</t>
        </is>
      </c>
      <c r="G31" s="167" t="n">
        <v>5</v>
      </c>
      <c r="H31" s="167" t="inlineStr">
        <is>
          <t>https://www.scheller.gatech.edu/academics-research/it-management/</t>
        </is>
      </c>
      <c r="I31" s="167" t="inlineStr">
        <is>
          <t>—</t>
        </is>
      </c>
      <c r="J31" s="167" t="inlineStr">
        <is>
          <t>—</t>
        </is>
      </c>
      <c r="K31" s="167" t="n"/>
      <c r="L31" s="167" t="inlineStr">
        <is>
          <t>Separate</t>
        </is>
      </c>
      <c r="M31" s="167" t="inlineStr">
        <is>
          <t>Two distinct departments</t>
        </is>
      </c>
    </row>
    <row r="32" ht="15" customHeight="1" s="91">
      <c r="A32" s="165" t="n">
        <v>31</v>
      </c>
      <c r="B32" s="165" t="inlineStr">
        <is>
          <t>Penn State Smeal</t>
        </is>
      </c>
      <c r="C32" s="165" t="inlineStr">
        <is>
          <t>SCIS (combined)</t>
        </is>
      </c>
      <c r="D32" s="165" t="n">
        <v>6</v>
      </c>
      <c r="E32" s="165" t="inlineStr">
        <is>
          <t>https://www.smeal.psu.edu/scis</t>
        </is>
      </c>
      <c r="F32" s="165" t="inlineStr">
        <is>
          <t>SCIS (combined)</t>
        </is>
      </c>
      <c r="G32" s="165" t="n">
        <v>6</v>
      </c>
      <c r="H32" s="165" t="n"/>
      <c r="I32" s="165" t="inlineStr">
        <is>
          <t>—</t>
        </is>
      </c>
      <c r="J32" s="165" t="inlineStr">
        <is>
          <t>—</t>
        </is>
      </c>
      <c r="K32" s="165" t="n"/>
      <c r="L32" s="166" t="inlineStr">
        <is>
          <t>Combined</t>
        </is>
      </c>
      <c r="M32" s="165" t="inlineStr">
        <is>
          <t>SCIS = Supply Chain &amp; Information Systems</t>
        </is>
      </c>
    </row>
    <row r="33" ht="23.25" customHeight="1" s="91">
      <c r="A33" s="167" t="n">
        <v>32</v>
      </c>
      <c r="B33" s="167" t="inlineStr">
        <is>
          <t>Texas A&amp;M Mays</t>
        </is>
      </c>
      <c r="C33" s="167" t="inlineStr">
        <is>
          <t>IOM (combined)</t>
        </is>
      </c>
      <c r="D33" s="167" t="n">
        <v>9</v>
      </c>
      <c r="E33" s="167" t="inlineStr">
        <is>
          <t>https://mays.tamu.edu/departments/information-and-operations-management/</t>
        </is>
      </c>
      <c r="F33" s="167" t="inlineStr">
        <is>
          <t>IOM (combined)</t>
        </is>
      </c>
      <c r="G33" s="167" t="n">
        <v>9</v>
      </c>
      <c r="H33" s="167" t="n"/>
      <c r="I33" s="167" t="inlineStr">
        <is>
          <t>—</t>
        </is>
      </c>
      <c r="J33" s="167" t="inlineStr">
        <is>
          <t>—</t>
        </is>
      </c>
      <c r="K33" s="167" t="n"/>
      <c r="L33" s="166" t="inlineStr">
        <is>
          <t>Combined</t>
        </is>
      </c>
      <c r="M33" s="167" t="inlineStr">
        <is>
          <t>IOM covers IS + Operations</t>
        </is>
      </c>
    </row>
    <row r="34" ht="23.25" customHeight="1" s="91">
      <c r="A34" s="165" t="n">
        <v>33</v>
      </c>
      <c r="B34" s="165" t="inlineStr">
        <is>
          <t>Purdue Daniels</t>
        </is>
      </c>
      <c r="C34" s="165" t="inlineStr">
        <is>
          <t>Quantitative Methods</t>
        </is>
      </c>
      <c r="D34" s="165" t="n">
        <v>9</v>
      </c>
      <c r="E34" s="165" t="inlineStr">
        <is>
          <t>https://business.purdue.edu/academics/quantitative-methods/</t>
        </is>
      </c>
      <c r="F34" s="165" t="inlineStr">
        <is>
          <t>—</t>
        </is>
      </c>
      <c r="G34" s="165" t="inlineStr">
        <is>
          <t>—</t>
        </is>
      </c>
      <c r="H34" s="165" t="n"/>
      <c r="I34" s="165" t="inlineStr">
        <is>
          <t>—</t>
        </is>
      </c>
      <c r="J34" s="165" t="inlineStr">
        <is>
          <t>—</t>
        </is>
      </c>
      <c r="K34" s="165" t="n"/>
      <c r="L34" s="165" t="inlineStr">
        <is>
          <t>QM dept</t>
        </is>
      </c>
      <c r="M34" s="165" t="inlineStr">
        <is>
          <t>Also has Supply Chain &amp; Ops Mgmt</t>
        </is>
      </c>
    </row>
    <row r="35" ht="23.25" customHeight="1" s="91">
      <c r="A35" s="167" t="n">
        <v>34</v>
      </c>
      <c r="B35" s="167" t="inlineStr">
        <is>
          <t>ASU Carey</t>
        </is>
      </c>
      <c r="C35" s="167" t="inlineStr">
        <is>
          <t>Supply Chain Management</t>
        </is>
      </c>
      <c r="D35" s="167" t="n">
        <v>7</v>
      </c>
      <c r="E35" s="167" t="inlineStr">
        <is>
          <t>https://wpcarey.asu.edu/supply-chain-management-department</t>
        </is>
      </c>
      <c r="F35" s="167" t="inlineStr">
        <is>
          <t>Information Systems</t>
        </is>
      </c>
      <c r="G35" s="167" t="n">
        <v>6</v>
      </c>
      <c r="H35" s="167" t="inlineStr">
        <is>
          <t>https://wpcarey.asu.edu/information-systems-department</t>
        </is>
      </c>
      <c r="I35" s="167" t="inlineStr">
        <is>
          <t>—</t>
        </is>
      </c>
      <c r="J35" s="167" t="inlineStr">
        <is>
          <t>—</t>
        </is>
      </c>
      <c r="K35" s="167" t="n"/>
      <c r="L35" s="167" t="inlineStr">
        <is>
          <t>Separate</t>
        </is>
      </c>
      <c r="M35" s="167" t="inlineStr">
        <is>
          <t>Two distinct departments</t>
        </is>
      </c>
    </row>
    <row r="36" ht="23.25" customHeight="1" s="91">
      <c r="A36" s="165" t="n">
        <v>35</v>
      </c>
      <c r="B36" s="165" t="inlineStr">
        <is>
          <t>Wisconsin SoB</t>
        </is>
      </c>
      <c r="C36" s="165" t="inlineStr">
        <is>
          <t>Operations &amp; Information Mgmt</t>
        </is>
      </c>
      <c r="D36" s="165" t="n">
        <v>6</v>
      </c>
      <c r="E36" s="165" t="inlineStr">
        <is>
          <t>https://business.wisc.edu/faculty-research/operations-information-management/</t>
        </is>
      </c>
      <c r="F36" s="165" t="inlineStr">
        <is>
          <t>Acct &amp; IS (combined w/ Acct)</t>
        </is>
      </c>
      <c r="G36" s="165" t="n">
        <v>5</v>
      </c>
      <c r="H36" s="165" t="inlineStr">
        <is>
          <t>https://business.wisc.edu/faculty-research/accounting-information-systems/</t>
        </is>
      </c>
      <c r="I36" s="165" t="inlineStr">
        <is>
          <t>—</t>
        </is>
      </c>
      <c r="J36" s="165" t="inlineStr">
        <is>
          <t>—</t>
        </is>
      </c>
      <c r="K36" s="165" t="n"/>
      <c r="L36" s="165" t="inlineStr">
        <is>
          <t>Mixed</t>
        </is>
      </c>
      <c r="M36" s="165" t="inlineStr">
        <is>
          <t>OIM combined; IS is with Accounting</t>
        </is>
      </c>
    </row>
    <row r="37" ht="23.25" customHeight="1" s="91">
      <c r="A37" s="167" t="n">
        <v>36</v>
      </c>
      <c r="B37" s="167" t="inlineStr">
        <is>
          <t>Maryland Smith</t>
        </is>
      </c>
      <c r="C37" s="167" t="inlineStr">
        <is>
          <t>DO&amp;IT (combined)</t>
        </is>
      </c>
      <c r="D37" s="167" t="n">
        <v>20</v>
      </c>
      <c r="E37" s="167" t="inlineStr">
        <is>
          <t>https://www.rhsmith.umd.edu/departments/decision-operations-information-technologies</t>
        </is>
      </c>
      <c r="F37" s="167" t="inlineStr">
        <is>
          <t>DO&amp;IT (combined)</t>
        </is>
      </c>
      <c r="G37" s="167" t="n">
        <v>20</v>
      </c>
      <c r="H37" s="167" t="n"/>
      <c r="I37" s="167" t="inlineStr">
        <is>
          <t>DO&amp;IT (combined)</t>
        </is>
      </c>
      <c r="J37" s="167" t="n">
        <v>20</v>
      </c>
      <c r="K37" s="167" t="n"/>
      <c r="L37" s="166" t="inlineStr">
        <is>
          <t>Combined</t>
        </is>
      </c>
      <c r="M37" s="167" t="inlineStr">
        <is>
          <t>DO&amp;IT covers decision, ops, IS, tech</t>
        </is>
      </c>
    </row>
    <row r="38" ht="34.5" customHeight="1" s="91">
      <c r="A38" s="165" t="n">
        <v>37</v>
      </c>
      <c r="B38" s="165" t="inlineStr">
        <is>
          <t>BU Questrom</t>
        </is>
      </c>
      <c r="C38" s="165" t="inlineStr">
        <is>
          <t>Operations &amp; Technology Mgmt</t>
        </is>
      </c>
      <c r="D38" s="165" t="n">
        <v>9</v>
      </c>
      <c r="E38" s="165" t="inlineStr">
        <is>
          <t>https://www.bu.edu/questrom/faculty-research/academic-departments/operations-technology-management/</t>
        </is>
      </c>
      <c r="F38" s="165" t="inlineStr">
        <is>
          <t>Information Systems</t>
        </is>
      </c>
      <c r="G38" s="165" t="n">
        <v>9</v>
      </c>
      <c r="H38" s="165" t="inlineStr">
        <is>
          <t>https://www.bu.edu/questrom/faculty-research/academic-departments/information-systems/</t>
        </is>
      </c>
      <c r="I38" s="165" t="inlineStr">
        <is>
          <t>—</t>
        </is>
      </c>
      <c r="J38" s="165" t="inlineStr">
        <is>
          <t>—</t>
        </is>
      </c>
      <c r="K38" s="165" t="n"/>
      <c r="L38" s="165" t="inlineStr">
        <is>
          <t>Separate</t>
        </is>
      </c>
      <c r="M38" s="165" t="inlineStr">
        <is>
          <t>Two distinct departments</t>
        </is>
      </c>
    </row>
    <row r="39" ht="23.25" customHeight="1" s="91">
      <c r="A39" s="167" t="n">
        <v>38</v>
      </c>
      <c r="B39" s="167" t="inlineStr">
        <is>
          <t>UF Warrington</t>
        </is>
      </c>
      <c r="C39" s="167" t="inlineStr">
        <is>
          <t>ISOM (combined)</t>
        </is>
      </c>
      <c r="D39" s="167" t="n">
        <v>8</v>
      </c>
      <c r="E39" s="167" t="inlineStr">
        <is>
          <t>https://warrington.ufl.edu/information-systems-and-operations-management-department/</t>
        </is>
      </c>
      <c r="F39" s="167" t="inlineStr">
        <is>
          <t>ISOM (combined)</t>
        </is>
      </c>
      <c r="G39" s="167" t="n">
        <v>8</v>
      </c>
      <c r="H39" s="167" t="n"/>
      <c r="I39" s="167" t="inlineStr">
        <is>
          <t>—</t>
        </is>
      </c>
      <c r="J39" s="167" t="inlineStr">
        <is>
          <t>—</t>
        </is>
      </c>
      <c r="K39" s="167" t="n"/>
      <c r="L39" s="166" t="inlineStr">
        <is>
          <t>Combined</t>
        </is>
      </c>
      <c r="M39" s="167" t="inlineStr">
        <is>
          <t>ISOM covers IS + Operations</t>
        </is>
      </c>
    </row>
    <row r="40" ht="34.5" customHeight="1" s="91">
      <c r="A40" s="165" t="n">
        <v>39</v>
      </c>
      <c r="B40" s="165" t="inlineStr">
        <is>
          <t>SMU Cox</t>
        </is>
      </c>
      <c r="C40" s="165" t="inlineStr">
        <is>
          <t>ITOM (combined)</t>
        </is>
      </c>
      <c r="D40" s="165" t="n">
        <v>6</v>
      </c>
      <c r="E40" s="165" t="inlineStr">
        <is>
          <t>https://www.smu.edu/cox/academics/information-technology-and-operations-management-department</t>
        </is>
      </c>
      <c r="F40" s="165" t="inlineStr">
        <is>
          <t>ITOM (combined)</t>
        </is>
      </c>
      <c r="G40" s="165" t="n">
        <v>6</v>
      </c>
      <c r="H40" s="165" t="n"/>
      <c r="I40" s="165" t="inlineStr">
        <is>
          <t>—</t>
        </is>
      </c>
      <c r="J40" s="165" t="inlineStr">
        <is>
          <t>—</t>
        </is>
      </c>
      <c r="K40" s="165" t="n"/>
      <c r="L40" s="166" t="inlineStr">
        <is>
          <t>Combined</t>
        </is>
      </c>
      <c r="M40" s="165" t="inlineStr">
        <is>
          <t>ITOM covers IT + Operations</t>
        </is>
      </c>
    </row>
    <row r="41" ht="34.5" customHeight="1" s="91">
      <c r="A41" s="167" t="n">
        <v>40</v>
      </c>
      <c r="B41" s="167" t="inlineStr">
        <is>
          <t>UW Foster</t>
        </is>
      </c>
      <c r="C41" s="167" t="inlineStr">
        <is>
          <t>ISOM (combined)</t>
        </is>
      </c>
      <c r="D41" s="167" t="n">
        <v>10</v>
      </c>
      <c r="E41" s="167" t="inlineStr">
        <is>
          <t>https://foster.uw.edu/faculty-research/academic-departments/information-systems-and-operations-management/</t>
        </is>
      </c>
      <c r="F41" s="167" t="inlineStr">
        <is>
          <t>ISOM (combined)</t>
        </is>
      </c>
      <c r="G41" s="167" t="n">
        <v>10</v>
      </c>
      <c r="H41" s="167" t="n"/>
      <c r="I41" s="167" t="inlineStr">
        <is>
          <t>—</t>
        </is>
      </c>
      <c r="J41" s="167" t="inlineStr">
        <is>
          <t>—</t>
        </is>
      </c>
      <c r="K41" s="167" t="n"/>
      <c r="L41" s="166" t="inlineStr">
        <is>
          <t>Combined</t>
        </is>
      </c>
      <c r="M41" s="167" t="inlineStr">
        <is>
          <t>ISOM covers IS + Operations</t>
        </is>
      </c>
    </row>
    <row r="42" ht="23.25" customHeight="1" s="91">
      <c r="A42" s="165" t="n">
        <v>41</v>
      </c>
      <c r="B42" s="165" t="inlineStr">
        <is>
          <t>Pitt Katz</t>
        </is>
      </c>
      <c r="C42" s="165" t="inlineStr">
        <is>
          <t>Business Analytics &amp; Operations</t>
        </is>
      </c>
      <c r="D42" s="165" t="n">
        <v>7</v>
      </c>
      <c r="E42" s="165" t="inlineStr">
        <is>
          <t>https://www.business.pitt.edu/academics/business-analytics-operations/</t>
        </is>
      </c>
      <c r="F42" s="165" t="inlineStr">
        <is>
          <t>IS &amp; Technology Management</t>
        </is>
      </c>
      <c r="G42" s="165" t="n">
        <v>7</v>
      </c>
      <c r="H42" s="165" t="inlineStr">
        <is>
          <t>https://www.business.pitt.edu/academics/information-systems-technology-management/</t>
        </is>
      </c>
      <c r="I42" s="165" t="inlineStr">
        <is>
          <t>BAO includes analytics</t>
        </is>
      </c>
      <c r="J42" s="165" t="n">
        <v>7</v>
      </c>
      <c r="K42" s="165" t="n"/>
      <c r="L42" s="165" t="inlineStr">
        <is>
          <t>Separate</t>
        </is>
      </c>
      <c r="M42" s="165" t="inlineStr">
        <is>
          <t>Two distinct areas</t>
        </is>
      </c>
    </row>
    <row r="43" ht="23.25" customHeight="1" s="91">
      <c r="A43" s="167" t="n">
        <v>42</v>
      </c>
      <c r="B43" s="167" t="inlineStr">
        <is>
          <t>NEU D'Amore-McKim</t>
        </is>
      </c>
      <c r="C43" s="167" t="inlineStr">
        <is>
          <t>SC &amp; Info Mgmt group (combined)</t>
        </is>
      </c>
      <c r="D43" s="167" t="n">
        <v>13</v>
      </c>
      <c r="E43" s="167" t="inlineStr">
        <is>
          <t>https://damore-mckim.northeastern.edu/supply-chain/</t>
        </is>
      </c>
      <c r="F43" s="167" t="inlineStr">
        <is>
          <t>SC &amp; Info Mgmt group (combined)</t>
        </is>
      </c>
      <c r="G43" s="167" t="n">
        <v>13</v>
      </c>
      <c r="H43" s="167" t="n"/>
      <c r="I43" s="167" t="inlineStr">
        <is>
          <t>—</t>
        </is>
      </c>
      <c r="J43" s="167" t="inlineStr">
        <is>
          <t>—</t>
        </is>
      </c>
      <c r="K43" s="167" t="n"/>
      <c r="L43" s="166" t="inlineStr">
        <is>
          <t>Combined</t>
        </is>
      </c>
      <c r="M43" s="167" t="inlineStr">
        <is>
          <t>Integrated academic group: MIS + OM + SCM + Analysis</t>
        </is>
      </c>
    </row>
    <row r="44" ht="15" customHeight="1" s="91">
      <c r="A44" s="165" t="n">
        <v>43</v>
      </c>
      <c r="B44" s="165" t="inlineStr">
        <is>
          <t>Tulane Freeman</t>
        </is>
      </c>
      <c r="C44" s="165" t="inlineStr">
        <is>
          <t>—</t>
        </is>
      </c>
      <c r="D44" s="165" t="inlineStr">
        <is>
          <t>—</t>
        </is>
      </c>
      <c r="E44" s="165" t="n"/>
      <c r="F44" s="165" t="inlineStr">
        <is>
          <t>—</t>
        </is>
      </c>
      <c r="G44" s="165" t="inlineStr">
        <is>
          <t>—</t>
        </is>
      </c>
      <c r="H44" s="165" t="n"/>
      <c r="I44" s="165" t="inlineStr">
        <is>
          <t>—</t>
        </is>
      </c>
      <c r="J44" s="165" t="inlineStr">
        <is>
          <t>—</t>
        </is>
      </c>
      <c r="K44" s="165" t="n"/>
      <c r="L44" s="165" t="inlineStr">
        <is>
          <t>None</t>
        </is>
      </c>
      <c r="M44" s="165" t="inlineStr">
        <is>
          <t>No dedicated OM/IS/Analytics dept</t>
        </is>
      </c>
    </row>
    <row r="45" ht="23.25" customHeight="1" s="91">
      <c r="A45" s="167" t="n">
        <v>44</v>
      </c>
      <c r="B45" s="167" t="inlineStr">
        <is>
          <t>Iowa Tippie</t>
        </is>
      </c>
      <c r="C45" s="167" t="inlineStr">
        <is>
          <t>—</t>
        </is>
      </c>
      <c r="D45" s="167" t="inlineStr">
        <is>
          <t>—</t>
        </is>
      </c>
      <c r="E45" s="167" t="n"/>
      <c r="F45" s="167" t="inlineStr">
        <is>
          <t>—</t>
        </is>
      </c>
      <c r="G45" s="167" t="inlineStr">
        <is>
          <t>—</t>
        </is>
      </c>
      <c r="H45" s="167" t="n"/>
      <c r="I45" s="167" t="inlineStr">
        <is>
          <t>Business Analytics</t>
        </is>
      </c>
      <c r="J45" s="167" t="n">
        <v>7</v>
      </c>
      <c r="K45" s="167" t="inlineStr">
        <is>
          <t>https://tippie.uiowa.edu/about/business-analytics-department</t>
        </is>
      </c>
      <c r="L45" s="167" t="inlineStr">
        <is>
          <t>Analytics only</t>
        </is>
      </c>
      <c r="M45" s="167" t="inlineStr">
        <is>
          <t>Standalone Business Analytics dept</t>
        </is>
      </c>
    </row>
    <row r="46" ht="23.25" customHeight="1" s="91">
      <c r="A46" s="165" t="n">
        <v>45</v>
      </c>
      <c r="B46" s="165" t="inlineStr">
        <is>
          <t>GWU GWSB</t>
        </is>
      </c>
      <c r="C46" s="165" t="inlineStr">
        <is>
          <t>Decision Sciences</t>
        </is>
      </c>
      <c r="D46" s="165" t="n">
        <v>10</v>
      </c>
      <c r="E46" s="165" t="inlineStr">
        <is>
          <t>https://business.gwu.edu/academics/departments/decision-sciences</t>
        </is>
      </c>
      <c r="F46" s="165" t="inlineStr">
        <is>
          <t>IS &amp; Technology Management</t>
        </is>
      </c>
      <c r="G46" s="165" t="n">
        <v>9</v>
      </c>
      <c r="H46" s="165" t="inlineStr">
        <is>
          <t>https://business.gwu.edu/academics/departments/information-systems-technology-management</t>
        </is>
      </c>
      <c r="I46" s="165" t="inlineStr">
        <is>
          <t>—</t>
        </is>
      </c>
      <c r="J46" s="165" t="inlineStr">
        <is>
          <t>—</t>
        </is>
      </c>
      <c r="K46" s="165" t="n"/>
      <c r="L46" s="165" t="inlineStr">
        <is>
          <t>Separate</t>
        </is>
      </c>
      <c r="M46" s="165" t="inlineStr">
        <is>
          <t>Two distinct departments</t>
        </is>
      </c>
    </row>
    <row r="47" ht="15" customHeight="1" s="91">
      <c r="A47" s="167" t="n">
        <v>46</v>
      </c>
      <c r="B47" s="167" t="inlineStr">
        <is>
          <t>BYU Marriott</t>
        </is>
      </c>
      <c r="C47" s="167" t="inlineStr">
        <is>
          <t>Global Supply Chain Mgmt</t>
        </is>
      </c>
      <c r="D47" s="167" t="n">
        <v>8</v>
      </c>
      <c r="E47" s="167" t="inlineStr">
        <is>
          <t>https://marriott.byu.edu/gscm/</t>
        </is>
      </c>
      <c r="F47" s="167" t="inlineStr">
        <is>
          <t>Information Systems</t>
        </is>
      </c>
      <c r="G47" s="167" t="n">
        <v>7</v>
      </c>
      <c r="H47" s="167" t="inlineStr">
        <is>
          <t>https://marriott.byu.edu/infosys/</t>
        </is>
      </c>
      <c r="I47" s="167" t="inlineStr">
        <is>
          <t>—</t>
        </is>
      </c>
      <c r="J47" s="167" t="inlineStr">
        <is>
          <t>—</t>
        </is>
      </c>
      <c r="K47" s="167" t="n"/>
      <c r="L47" s="167" t="inlineStr">
        <is>
          <t>Separate</t>
        </is>
      </c>
      <c r="M47" s="167" t="inlineStr">
        <is>
          <t>Two distinct departments</t>
        </is>
      </c>
    </row>
    <row r="48" ht="23.25" customHeight="1" s="91">
      <c r="A48" s="165" t="n">
        <v>47</v>
      </c>
      <c r="B48" s="165" t="inlineStr">
        <is>
          <t>Rochester Simon</t>
        </is>
      </c>
      <c r="C48" s="165" t="inlineStr">
        <is>
          <t>Operations Management</t>
        </is>
      </c>
      <c r="D48" s="165" t="n">
        <v>8</v>
      </c>
      <c r="E48" s="165" t="inlineStr">
        <is>
          <t>https://simon.rochester.edu/faculty-research/academic-areas/operations-management</t>
        </is>
      </c>
      <c r="F48" s="165" t="inlineStr">
        <is>
          <t>—</t>
        </is>
      </c>
      <c r="G48" s="165" t="inlineStr">
        <is>
          <t>—</t>
        </is>
      </c>
      <c r="H48" s="165" t="n"/>
      <c r="I48" s="165" t="inlineStr">
        <is>
          <t>—</t>
        </is>
      </c>
      <c r="J48" s="165" t="inlineStr">
        <is>
          <t>—</t>
        </is>
      </c>
      <c r="K48" s="165" t="n"/>
      <c r="L48" s="165" t="inlineStr">
        <is>
          <t>Single OM area</t>
        </is>
      </c>
      <c r="M48" s="165" t="n"/>
    </row>
    <row r="49" ht="23.25" customHeight="1" s="91">
      <c r="A49" s="167" t="n">
        <v>48</v>
      </c>
      <c r="B49" s="167" t="inlineStr">
        <is>
          <t>Wake Forest SoB</t>
        </is>
      </c>
      <c r="C49" s="167" t="inlineStr">
        <is>
          <t>Combined mega-dept (AISMOM)</t>
        </is>
      </c>
      <c r="D49" s="167" t="n">
        <v>12</v>
      </c>
      <c r="E49" s="167" t="inlineStr">
        <is>
          <t>https://business.wakeforest.edu/expert-faculty-research/faculty-and-academic-centers/</t>
        </is>
      </c>
      <c r="F49" s="167" t="inlineStr">
        <is>
          <t>Combined mega-dept (AISMOM)</t>
        </is>
      </c>
      <c r="G49" s="167" t="n">
        <v>12</v>
      </c>
      <c r="H49" s="167" t="n"/>
      <c r="I49" s="167" t="inlineStr">
        <is>
          <t>Combined mega-dept (AISMOM)</t>
        </is>
      </c>
      <c r="J49" s="167" t="n">
        <v>12</v>
      </c>
      <c r="K49" s="167" t="n"/>
      <c r="L49" s="166" t="inlineStr">
        <is>
          <t>Combined</t>
        </is>
      </c>
      <c r="M49" s="167" t="inlineStr">
        <is>
          <t>Analytics + IS + Marketing + OM all in one dept</t>
        </is>
      </c>
    </row>
    <row r="50" ht="23.25" customHeight="1" s="91">
      <c r="A50" s="165" t="n">
        <v>49</v>
      </c>
      <c r="B50" s="165" t="inlineStr">
        <is>
          <t>Temple Fox</t>
        </is>
      </c>
      <c r="C50" s="165" t="inlineStr">
        <is>
          <t>Mktg &amp; Supply Chain Mgmt</t>
        </is>
      </c>
      <c r="D50" s="165" t="n">
        <v>9</v>
      </c>
      <c r="E50" s="165" t="inlineStr">
        <is>
          <t>https://www.fox.temple.edu/departments/marketing-supply-chain-management/</t>
        </is>
      </c>
      <c r="F50" s="165" t="inlineStr">
        <is>
          <t>Management Information Systems</t>
        </is>
      </c>
      <c r="G50" s="165" t="n">
        <v>9</v>
      </c>
      <c r="H50" s="165" t="inlineStr">
        <is>
          <t>https://www.fox.temple.edu/faculty-research/academic-areas/management-information-systems</t>
        </is>
      </c>
      <c r="I50" s="165" t="inlineStr">
        <is>
          <t>—</t>
        </is>
      </c>
      <c r="J50" s="165" t="inlineStr">
        <is>
          <t>—</t>
        </is>
      </c>
      <c r="K50" s="165" t="n"/>
      <c r="L50" s="165" t="inlineStr">
        <is>
          <t>Separate (SCM w/ Marketing)</t>
        </is>
      </c>
      <c r="M50" s="165" t="inlineStr">
        <is>
          <t>SCM combined with Marketing, not IS</t>
        </is>
      </c>
    </row>
    <row r="51" ht="23.25" customHeight="1" s="91">
      <c r="A51" s="167" t="n">
        <v>50</v>
      </c>
      <c r="B51" s="167" t="inlineStr">
        <is>
          <t>Miami Herbert</t>
        </is>
      </c>
      <c r="C51" s="167" t="inlineStr">
        <is>
          <t>Management Science</t>
        </is>
      </c>
      <c r="D51" s="167" t="n">
        <v>8</v>
      </c>
      <c r="E51" s="167" t="inlineStr">
        <is>
          <t>https://www.herbert.miami.edu/faculty-research/academic-departments/management-science/</t>
        </is>
      </c>
      <c r="F51" s="167" t="inlineStr">
        <is>
          <t>Business Technology</t>
        </is>
      </c>
      <c r="G51" s="167" t="n">
        <v>7</v>
      </c>
      <c r="H51" s="167" t="inlineStr">
        <is>
          <t>https://www.herbert.miami.edu/faculty-research/academic-departments/business-technology/</t>
        </is>
      </c>
      <c r="I51" s="167" t="inlineStr">
        <is>
          <t>—</t>
        </is>
      </c>
      <c r="J51" s="167" t="inlineStr">
        <is>
          <t>—</t>
        </is>
      </c>
      <c r="K51" s="167" t="n"/>
      <c r="L51" s="167" t="inlineStr">
        <is>
          <t>Separate</t>
        </is>
      </c>
      <c r="M51" s="167" t="inlineStr">
        <is>
          <t>Two distinct departments</t>
        </is>
      </c>
    </row>
  </sheetData>
  <autoFilter ref="A1:M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sheetData>
    <row r="1" ht="15" customHeight="1" s="91">
      <c r="A1" s="90" t="inlineStr">
        <is>
          <t>ShortName</t>
        </is>
      </c>
      <c r="B1" s="90" t="inlineStr">
        <is>
          <t>FullName</t>
        </is>
      </c>
      <c r="C1" s="90" t="inlineStr">
        <is>
          <t>Rank</t>
        </is>
      </c>
      <c r="D1" s="90" t="inlineStr">
        <is>
          <t>TotalTT</t>
        </is>
      </c>
      <c r="E1" s="90" t="inlineStr">
        <is>
          <t>IS_OM_Status</t>
        </is>
      </c>
      <c r="F1" s="90" t="inlineStr">
        <is>
          <t>Analytics_Location</t>
        </is>
      </c>
    </row>
    <row r="2" ht="15" customHeight="1" s="91">
      <c r="A2" s="90" t="inlineStr">
        <is>
          <t>Wharton</t>
        </is>
      </c>
      <c r="B2" s="90" t="inlineStr">
        <is>
          <t>University of Pennsylvania – Wharton School</t>
        </is>
      </c>
      <c r="C2" s="90" t="n">
        <v>1</v>
      </c>
      <c r="D2" s="90" t="n">
        <v>246</v>
      </c>
      <c r="E2" s="90" t="inlineStr">
        <is>
          <t>Combined (OID)</t>
        </is>
      </c>
      <c r="F2" s="90" t="inlineStr">
        <is>
          <t>Statistics &amp; Data Science</t>
        </is>
      </c>
    </row>
    <row r="3" ht="15" customHeight="1" s="91">
      <c r="A3" s="90" t="inlineStr">
        <is>
          <t>Harvard HBS</t>
        </is>
      </c>
      <c r="B3" s="90" t="inlineStr">
        <is>
          <t>Harvard University – Harvard Business School</t>
        </is>
      </c>
      <c r="C3" s="90" t="n">
        <v>2</v>
      </c>
      <c r="D3" s="90" t="n">
        <v>201</v>
      </c>
      <c r="E3" s="90" t="inlineStr">
        <is>
          <t>Combined (Technology &amp; Operations Mgmt (TOM))</t>
        </is>
      </c>
      <c r="F3" s="90" t="inlineStr">
        <is>
          <t>None</t>
        </is>
      </c>
    </row>
    <row r="4" ht="15" customHeight="1" s="91">
      <c r="A4" s="90" t="inlineStr">
        <is>
          <t>Chicago Booth</t>
        </is>
      </c>
      <c r="B4" s="90" t="inlineStr">
        <is>
          <t>University of Chicago – Booth School of Business</t>
        </is>
      </c>
      <c r="C4" s="90" t="n">
        <v>3</v>
      </c>
      <c r="D4" s="90" t="n">
        <v>144</v>
      </c>
      <c r="E4" s="90" t="inlineStr">
        <is>
          <t>OM only</t>
        </is>
      </c>
      <c r="F4" s="90" t="inlineStr">
        <is>
          <t>None</t>
        </is>
      </c>
    </row>
    <row r="5" ht="15" customHeight="1" s="91">
      <c r="A5" s="90" t="inlineStr">
        <is>
          <t>Kellogg</t>
        </is>
      </c>
      <c r="B5" s="90" t="inlineStr">
        <is>
          <t>Northwestern University – Kellogg School of Management</t>
        </is>
      </c>
      <c r="C5" s="90" t="n">
        <v>4</v>
      </c>
      <c r="D5" s="90" t="n">
        <v>141</v>
      </c>
      <c r="E5" s="90" t="inlineStr">
        <is>
          <t>OM only</t>
        </is>
      </c>
      <c r="F5" s="90" t="inlineStr">
        <is>
          <t>MEDS (includes decision science)</t>
        </is>
      </c>
    </row>
    <row r="6" ht="15" customHeight="1" s="91">
      <c r="A6" s="90" t="inlineStr">
        <is>
          <t>MIT Sloan</t>
        </is>
      </c>
      <c r="B6" s="90" t="inlineStr">
        <is>
          <t>MIT – Sloan School of Management</t>
        </is>
      </c>
      <c r="C6" s="90" t="n">
        <v>5</v>
      </c>
      <c r="D6" s="90" t="n">
        <v>129</v>
      </c>
      <c r="E6" s="90" t="inlineStr">
        <is>
          <t>Separate OM &amp; IS</t>
        </is>
      </c>
      <c r="F6" s="90" t="inlineStr">
        <is>
          <t>Operations Research &amp; Statistics</t>
        </is>
      </c>
    </row>
    <row r="7" ht="15" customHeight="1" s="91">
      <c r="A7" s="90" t="inlineStr">
        <is>
          <t>Stanford GSB</t>
        </is>
      </c>
      <c r="B7" s="90" t="inlineStr">
        <is>
          <t>Stanford University – Graduate School of Business</t>
        </is>
      </c>
      <c r="C7" s="90" t="n">
        <v>6</v>
      </c>
      <c r="D7" s="90" t="n">
        <v>122</v>
      </c>
      <c r="E7" s="90" t="inlineStr">
        <is>
          <t>Combined (OIT)</t>
        </is>
      </c>
      <c r="F7" s="90" t="inlineStr">
        <is>
          <t>None</t>
        </is>
      </c>
    </row>
    <row r="8" ht="15" customHeight="1" s="91">
      <c r="A8" s="90" t="inlineStr">
        <is>
          <t>Columbia CBS</t>
        </is>
      </c>
      <c r="B8" s="90" t="inlineStr">
        <is>
          <t>Columbia University – Columbia Business School</t>
        </is>
      </c>
      <c r="C8" s="90" t="n">
        <v>7</v>
      </c>
      <c r="D8" s="90" t="n">
        <v>123</v>
      </c>
      <c r="E8" s="90" t="inlineStr">
        <is>
          <t>Combined (DRO)</t>
        </is>
      </c>
      <c r="F8" s="90" t="inlineStr">
        <is>
          <t>DRO</t>
        </is>
      </c>
    </row>
    <row r="9" ht="15" customHeight="1" s="91">
      <c r="A9" s="90" t="inlineStr">
        <is>
          <t>NYU Stern</t>
        </is>
      </c>
      <c r="B9" s="90" t="inlineStr">
        <is>
          <t>New York University – Stern School of Business</t>
        </is>
      </c>
      <c r="C9" s="90" t="n">
        <v>8</v>
      </c>
      <c r="D9" s="90" t="n">
        <v>170</v>
      </c>
      <c r="E9" s="90" t="inlineStr">
        <is>
          <t>Combined (TOPS)</t>
        </is>
      </c>
      <c r="F9" s="90" t="inlineStr">
        <is>
          <t>TOPS</t>
        </is>
      </c>
    </row>
    <row r="10" ht="15" customHeight="1" s="91">
      <c r="A10" s="90" t="inlineStr">
        <is>
          <t>Dartmouth Tuck</t>
        </is>
      </c>
      <c r="B10" s="90" t="inlineStr">
        <is>
          <t>Dartmouth College – Tuck School of Business</t>
        </is>
      </c>
      <c r="C10" s="90" t="n">
        <v>9</v>
      </c>
      <c r="D10" s="90" t="n">
        <v>45</v>
      </c>
      <c r="E10" s="90" t="inlineStr">
        <is>
          <t>OM only</t>
        </is>
      </c>
      <c r="F10" s="90" t="inlineStr">
        <is>
          <t>None</t>
        </is>
      </c>
    </row>
    <row r="11" ht="15" customHeight="1" s="91">
      <c r="A11" s="90" t="inlineStr">
        <is>
          <t>Yale SOM</t>
        </is>
      </c>
      <c r="B11" s="90" t="inlineStr">
        <is>
          <t>Yale University – Yale School of Management</t>
        </is>
      </c>
      <c r="C11" s="90" t="n">
        <v>10</v>
      </c>
      <c r="D11" s="90" t="n">
        <v>110</v>
      </c>
      <c r="E11" s="90" t="inlineStr">
        <is>
          <t>OM only</t>
        </is>
      </c>
      <c r="F11" s="90" t="inlineStr">
        <is>
          <t>None</t>
        </is>
      </c>
    </row>
    <row r="12" ht="15" customHeight="1" s="91">
      <c r="A12" s="90" t="inlineStr">
        <is>
          <t>Berkeley Haas</t>
        </is>
      </c>
      <c r="B12" s="90" t="inlineStr">
        <is>
          <t>UC Berkeley – Haas School of Business</t>
        </is>
      </c>
      <c r="C12" s="90" t="n">
        <v>11</v>
      </c>
      <c r="D12" s="90" t="n">
        <v>84</v>
      </c>
      <c r="E12" s="90" t="inlineStr">
        <is>
          <t>Combined (OITM)</t>
        </is>
      </c>
      <c r="F12" s="90" t="inlineStr">
        <is>
          <t>None</t>
        </is>
      </c>
    </row>
    <row r="13" ht="15" customHeight="1" s="91">
      <c r="A13" s="90" t="inlineStr">
        <is>
          <t>UVA Darden</t>
        </is>
      </c>
      <c r="B13" s="90" t="inlineStr">
        <is>
          <t>University of Virginia – Darden School</t>
        </is>
      </c>
      <c r="C13" s="90" t="n">
        <v>12</v>
      </c>
      <c r="D13" s="90" t="n">
        <v>89</v>
      </c>
      <c r="E13" s="90" t="inlineStr">
        <is>
          <t>OM only</t>
        </is>
      </c>
      <c r="F13" s="90" t="inlineStr">
        <is>
          <t>Data Analytics &amp; Decision Sciences (DADS)</t>
        </is>
      </c>
    </row>
    <row r="14" ht="15" customHeight="1" s="91">
      <c r="A14" s="90" t="inlineStr">
        <is>
          <t>Michigan Ross</t>
        </is>
      </c>
      <c r="B14" s="90" t="inlineStr">
        <is>
          <t>University of Michigan – Ross School of Business</t>
        </is>
      </c>
      <c r="C14" s="90" t="n">
        <v>13</v>
      </c>
      <c r="D14" s="90" t="n">
        <v>112</v>
      </c>
      <c r="E14" s="90" t="inlineStr">
        <is>
          <t>Combined (Technology &amp; Operations)</t>
        </is>
      </c>
      <c r="F14" s="90" t="inlineStr">
        <is>
          <t>None</t>
        </is>
      </c>
    </row>
    <row r="15" ht="15" customHeight="1" s="91">
      <c r="A15" s="90" t="inlineStr">
        <is>
          <t>Duke Fuqua</t>
        </is>
      </c>
      <c r="B15" s="90" t="inlineStr">
        <is>
          <t>Duke University – Fuqua School of Business</t>
        </is>
      </c>
      <c r="C15" s="90" t="n">
        <v>14</v>
      </c>
      <c r="D15" s="90" t="n">
        <v>96</v>
      </c>
      <c r="E15" s="90" t="inlineStr">
        <is>
          <t>OM only</t>
        </is>
      </c>
      <c r="F15" s="90" t="inlineStr">
        <is>
          <t>Decision Sciences</t>
        </is>
      </c>
    </row>
    <row r="16" ht="15" customHeight="1" s="91">
      <c r="A16" s="90" t="inlineStr">
        <is>
          <t>Cornell Johnson</t>
        </is>
      </c>
      <c r="B16" s="90" t="inlineStr">
        <is>
          <t>Cornell University – SC Johnson Graduate School</t>
        </is>
      </c>
      <c r="C16" s="90" t="n">
        <v>15</v>
      </c>
      <c r="D16" s="90" t="n">
        <v>151</v>
      </c>
      <c r="E16" s="90" t="inlineStr">
        <is>
          <t>Combined (OTIM)</t>
        </is>
      </c>
      <c r="F16" s="90" t="inlineStr">
        <is>
          <t>None</t>
        </is>
      </c>
    </row>
    <row r="17" ht="15" customHeight="1" s="91">
      <c r="A17" s="90" t="inlineStr">
        <is>
          <t>UT McCombs</t>
        </is>
      </c>
      <c r="B17" s="90" t="inlineStr">
        <is>
          <t>UT Austin – McCombs School of Business</t>
        </is>
      </c>
      <c r="C17" s="90" t="n">
        <v>16</v>
      </c>
      <c r="D17" s="90" t="n">
        <v>138</v>
      </c>
      <c r="E17" s="90" t="inlineStr">
        <is>
          <t>Combined (IROM)</t>
        </is>
      </c>
      <c r="F17" s="90" t="inlineStr">
        <is>
          <t>IROM</t>
        </is>
      </c>
    </row>
    <row r="18" ht="15" customHeight="1" s="91">
      <c r="A18" s="90" t="inlineStr">
        <is>
          <t>Emory Goizueta</t>
        </is>
      </c>
      <c r="B18" s="90" t="inlineStr">
        <is>
          <t>Emory University – Goizueta Business School</t>
        </is>
      </c>
      <c r="C18" s="90" t="n">
        <v>17</v>
      </c>
      <c r="D18" s="90" t="n">
        <v>45</v>
      </c>
      <c r="E18" s="90" t="inlineStr">
        <is>
          <t>Combined (ISOM)</t>
        </is>
      </c>
      <c r="F18" s="90" t="inlineStr">
        <is>
          <t>None</t>
        </is>
      </c>
    </row>
    <row r="19" ht="15" customHeight="1" s="91">
      <c r="A19" s="90" t="inlineStr">
        <is>
          <t>CMU Tepper</t>
        </is>
      </c>
      <c r="B19" s="90" t="inlineStr">
        <is>
          <t>Carnegie Mellon – Tepper School of Business</t>
        </is>
      </c>
      <c r="C19" s="90" t="n">
        <v>18</v>
      </c>
      <c r="D19" s="90" t="n">
        <v>82</v>
      </c>
      <c r="E19" s="90" t="inlineStr">
        <is>
          <t>OM only</t>
        </is>
      </c>
      <c r="F19" s="90" t="inlineStr">
        <is>
          <t>Operations Research</t>
        </is>
      </c>
    </row>
    <row r="20" ht="15" customHeight="1" s="91">
      <c r="A20" s="90" t="inlineStr">
        <is>
          <t>UCLA Anderson</t>
        </is>
      </c>
      <c r="B20" s="90" t="inlineStr">
        <is>
          <t>UCLA – Anderson School of Management</t>
        </is>
      </c>
      <c r="C20" s="90" t="n">
        <v>19</v>
      </c>
      <c r="D20" s="90" t="n">
        <v>60</v>
      </c>
      <c r="E20" s="90" t="inlineStr">
        <is>
          <t>Combined (DOTM)</t>
        </is>
      </c>
      <c r="F20" s="90" t="inlineStr">
        <is>
          <t>Behavioral Decision Making</t>
        </is>
      </c>
    </row>
    <row r="21" ht="15" customHeight="1" s="91">
      <c r="A21" s="90" t="inlineStr">
        <is>
          <t>Vanderbilt Owen</t>
        </is>
      </c>
      <c r="B21" s="90" t="inlineStr">
        <is>
          <t>Vanderbilt University – Owen Graduate School</t>
        </is>
      </c>
      <c r="C21" s="90" t="n">
        <v>20</v>
      </c>
      <c r="D21" s="90" t="n">
        <v>49</v>
      </c>
      <c r="E21" s="90" t="inlineStr">
        <is>
          <t>OM only</t>
        </is>
      </c>
      <c r="F21" s="90" t="inlineStr">
        <is>
          <t>None</t>
        </is>
      </c>
    </row>
    <row r="22" ht="15" customHeight="1" s="91">
      <c r="A22" s="90" t="inlineStr">
        <is>
          <t>WashU Olin</t>
        </is>
      </c>
      <c r="B22" s="90" t="inlineStr">
        <is>
          <t>Washington University – Olin Business School</t>
        </is>
      </c>
      <c r="C22" s="90" t="n">
        <v>21</v>
      </c>
      <c r="D22" s="90" t="n">
        <v>44</v>
      </c>
      <c r="E22" s="90" t="inlineStr">
        <is>
          <t>OM only</t>
        </is>
      </c>
      <c r="F22" s="90" t="inlineStr">
        <is>
          <t>None</t>
        </is>
      </c>
    </row>
    <row r="23" ht="15" customHeight="1" s="91">
      <c r="A23" s="90" t="inlineStr">
        <is>
          <t>Georgetown MSOB</t>
        </is>
      </c>
      <c r="B23" s="90" t="inlineStr">
        <is>
          <t>Georgetown University – McDonough School</t>
        </is>
      </c>
      <c r="C23" s="90" t="n">
        <v>22</v>
      </c>
      <c r="D23" s="90" t="n">
        <v>79</v>
      </c>
    </row>
    <row r="24" ht="15" customHeight="1" s="91">
      <c r="A24" s="90" t="inlineStr">
        <is>
          <t>Indiana Kelley</t>
        </is>
      </c>
      <c r="B24" s="90" t="inlineStr">
        <is>
          <t>Indiana University – Kelley School of Business</t>
        </is>
      </c>
      <c r="C24" s="90" t="n">
        <v>23</v>
      </c>
      <c r="D24" s="90" t="n">
        <v>196</v>
      </c>
      <c r="E24" s="90" t="inlineStr">
        <is>
          <t>Combined (ODT)</t>
        </is>
      </c>
      <c r="F24" s="90" t="inlineStr">
        <is>
          <t>ODT sub-area</t>
        </is>
      </c>
    </row>
    <row r="25" ht="15" customHeight="1" s="91">
      <c r="A25" s="90" t="inlineStr">
        <is>
          <t>UNC Kenan-Flagler</t>
        </is>
      </c>
      <c r="B25" s="90" t="inlineStr">
        <is>
          <t>UNC Chapel Hill – Kenan-Flagler Business School</t>
        </is>
      </c>
      <c r="C25" s="90" t="n">
        <v>24</v>
      </c>
      <c r="D25" s="90" t="n">
        <v>81</v>
      </c>
      <c r="E25" s="90" t="inlineStr">
        <is>
          <t>OM only</t>
        </is>
      </c>
      <c r="F25" s="90" t="inlineStr">
        <is>
          <t>None</t>
        </is>
      </c>
    </row>
    <row r="26" ht="15" customHeight="1" s="91">
      <c r="A26" s="90" t="inlineStr">
        <is>
          <t>Notre Dame Mendoza</t>
        </is>
      </c>
      <c r="B26" s="90" t="inlineStr">
        <is>
          <t>University of Notre Dame – Mendoza College</t>
        </is>
      </c>
      <c r="C26" s="90" t="n">
        <v>25</v>
      </c>
      <c r="D26" s="90" t="n">
        <v>98</v>
      </c>
      <c r="E26" s="90" t="inlineStr">
        <is>
          <t>Combined (ITAO)</t>
        </is>
      </c>
      <c r="F26" s="90" t="inlineStr">
        <is>
          <t>ITAO</t>
        </is>
      </c>
    </row>
    <row r="27" ht="15" customHeight="1" s="91">
      <c r="A27" s="90" t="inlineStr">
        <is>
          <t>USC Marshall</t>
        </is>
      </c>
      <c r="B27" s="90" t="inlineStr">
        <is>
          <t>USC – Marshall School of Business</t>
        </is>
      </c>
      <c r="C27" s="90" t="n">
        <v>26</v>
      </c>
      <c r="D27" s="90" t="n">
        <v>136</v>
      </c>
      <c r="E27" s="90" t="inlineStr">
        <is>
          <t>Combined (DSO)</t>
        </is>
      </c>
      <c r="F27" s="90" t="inlineStr">
        <is>
          <t>DSO</t>
        </is>
      </c>
    </row>
    <row r="28" ht="15" customHeight="1" s="91">
      <c r="A28" s="90" t="inlineStr">
        <is>
          <t>Rice Jones</t>
        </is>
      </c>
      <c r="B28" s="90" t="inlineStr">
        <is>
          <t>Rice University – Jones Graduate School</t>
        </is>
      </c>
      <c r="C28" s="90" t="n">
        <v>27</v>
      </c>
      <c r="D28" s="90" t="n">
        <v>60</v>
      </c>
      <c r="E28" s="90" t="inlineStr">
        <is>
          <t>OM only</t>
        </is>
      </c>
      <c r="F28" s="90" t="inlineStr">
        <is>
          <t>None</t>
        </is>
      </c>
    </row>
    <row r="29" ht="15" customHeight="1" s="91">
      <c r="A29" s="90" t="inlineStr">
        <is>
          <t>Minnesota Carlson</t>
        </is>
      </c>
      <c r="B29" s="90" t="inlineStr">
        <is>
          <t>University of Minnesota – Carlson School of Mgmt</t>
        </is>
      </c>
      <c r="C29" s="90" t="n">
        <v>28</v>
      </c>
      <c r="D29" s="90" t="n">
        <v>86</v>
      </c>
      <c r="E29" s="90" t="inlineStr">
        <is>
          <t>Separate OM &amp; IS</t>
        </is>
      </c>
      <c r="F29" s="90" t="inlineStr">
        <is>
          <t>None</t>
        </is>
      </c>
    </row>
    <row r="30" ht="15" customHeight="1" s="91">
      <c r="A30" s="90" t="inlineStr">
        <is>
          <t>Ohio State Fisher</t>
        </is>
      </c>
      <c r="B30" s="90" t="inlineStr">
        <is>
          <t>Ohio State University – Fisher College of Business</t>
        </is>
      </c>
      <c r="C30" s="90" t="n">
        <v>29</v>
      </c>
      <c r="D30" s="90" t="n">
        <v>49</v>
      </c>
      <c r="E30" s="90" t="inlineStr">
        <is>
          <t>Combined (Management Sciences)</t>
        </is>
      </c>
      <c r="F30" s="90" t="inlineStr">
        <is>
          <t>None</t>
        </is>
      </c>
    </row>
    <row r="31" ht="15" customHeight="1" s="91">
      <c r="A31" s="90" t="inlineStr">
        <is>
          <t>GT Scheller</t>
        </is>
      </c>
      <c r="B31" s="90" t="inlineStr">
        <is>
          <t>Georgia Tech – Scheller College of Business</t>
        </is>
      </c>
      <c r="C31" s="90" t="n">
        <v>30</v>
      </c>
      <c r="D31" s="90" t="n">
        <v>61</v>
      </c>
      <c r="E31" s="90" t="inlineStr">
        <is>
          <t>Separate OM &amp; IS</t>
        </is>
      </c>
      <c r="F31" s="90" t="inlineStr">
        <is>
          <t>None</t>
        </is>
      </c>
    </row>
    <row r="32" ht="15" customHeight="1" s="91">
      <c r="A32" s="90" t="inlineStr">
        <is>
          <t>Penn State Smeal</t>
        </is>
      </c>
      <c r="B32" s="90" t="inlineStr">
        <is>
          <t>Penn State – Smeal College of Business</t>
        </is>
      </c>
      <c r="C32" s="90" t="n">
        <v>31</v>
      </c>
      <c r="D32" s="90" t="n">
        <v>121</v>
      </c>
      <c r="E32" s="90" t="inlineStr">
        <is>
          <t>Combined (SCIS)</t>
        </is>
      </c>
      <c r="F32" s="90" t="inlineStr">
        <is>
          <t>None</t>
        </is>
      </c>
    </row>
    <row r="33" ht="15" customHeight="1" s="91">
      <c r="A33" s="90" t="inlineStr">
        <is>
          <t>Texas A&amp;M Mays</t>
        </is>
      </c>
      <c r="B33" s="90" t="inlineStr">
        <is>
          <t>Texas A&amp;M – Mays Business School</t>
        </is>
      </c>
      <c r="C33" s="90" t="n">
        <v>32</v>
      </c>
      <c r="D33" s="90" t="n">
        <v>99</v>
      </c>
      <c r="E33" s="90" t="inlineStr">
        <is>
          <t>Combined (IOM)</t>
        </is>
      </c>
      <c r="F33" s="90" t="inlineStr">
        <is>
          <t>None</t>
        </is>
      </c>
    </row>
    <row r="34" ht="15" customHeight="1" s="91">
      <c r="A34" s="90" t="inlineStr">
        <is>
          <t>Purdue Krannert</t>
        </is>
      </c>
      <c r="B34" s="90" t="inlineStr">
        <is>
          <t>Purdue University – Krannert School of Management</t>
        </is>
      </c>
      <c r="C34" s="90" t="n">
        <v>33</v>
      </c>
      <c r="D34" s="90" t="n">
        <v>103</v>
      </c>
    </row>
    <row r="35" ht="15" customHeight="1" s="91">
      <c r="A35" s="90" t="inlineStr">
        <is>
          <t>ASU Carey</t>
        </is>
      </c>
      <c r="B35" s="90" t="inlineStr">
        <is>
          <t>Arizona State University – Carey School of Business</t>
        </is>
      </c>
      <c r="C35" s="90" t="n">
        <v>34</v>
      </c>
      <c r="D35" s="90" t="n">
        <v>44</v>
      </c>
      <c r="E35" s="90" t="inlineStr">
        <is>
          <t>Separate OM &amp; IS</t>
        </is>
      </c>
      <c r="F35" s="90" t="inlineStr">
        <is>
          <t>None</t>
        </is>
      </c>
    </row>
    <row r="36" ht="15" customHeight="1" s="91">
      <c r="A36" s="90" t="inlineStr">
        <is>
          <t>Wisconsin SoB</t>
        </is>
      </c>
      <c r="B36" s="90" t="inlineStr">
        <is>
          <t>University of Wisconsin – School of Business</t>
        </is>
      </c>
      <c r="C36" s="90" t="n">
        <v>35</v>
      </c>
      <c r="D36" s="90" t="n">
        <v>92</v>
      </c>
      <c r="E36" s="90" t="inlineStr">
        <is>
          <t>Combined (Operations &amp; Information Mgmt)</t>
        </is>
      </c>
      <c r="F36" s="90" t="inlineStr">
        <is>
          <t>None</t>
        </is>
      </c>
    </row>
    <row r="37" ht="15" customHeight="1" s="91">
      <c r="A37" s="90" t="inlineStr">
        <is>
          <t>Maryland Smith</t>
        </is>
      </c>
      <c r="B37" s="90" t="inlineStr">
        <is>
          <t>University of Maryland – Smith School of Business</t>
        </is>
      </c>
      <c r="C37" s="90" t="n">
        <v>36</v>
      </c>
      <c r="D37" s="90" t="n">
        <v>89</v>
      </c>
      <c r="E37" s="90" t="inlineStr">
        <is>
          <t>Combined (DO&amp;IT)</t>
        </is>
      </c>
      <c r="F37" s="90" t="inlineStr">
        <is>
          <t>DO&amp;IT</t>
        </is>
      </c>
    </row>
    <row r="38" ht="15" customHeight="1" s="91">
      <c r="A38" s="90" t="inlineStr">
        <is>
          <t>BU Questrom</t>
        </is>
      </c>
      <c r="B38" s="90" t="inlineStr">
        <is>
          <t>Boston University – Questrom School of Business</t>
        </is>
      </c>
      <c r="C38" s="90" t="n">
        <v>37</v>
      </c>
      <c r="D38" s="90" t="n">
        <v>86</v>
      </c>
      <c r="E38" s="90" t="inlineStr">
        <is>
          <t>Separate OM &amp; IS</t>
        </is>
      </c>
      <c r="F38" s="90" t="inlineStr">
        <is>
          <t>None</t>
        </is>
      </c>
    </row>
    <row r="39" ht="15" customHeight="1" s="91">
      <c r="A39" s="90" t="inlineStr">
        <is>
          <t>UF Warrington</t>
        </is>
      </c>
      <c r="B39" s="90" t="inlineStr">
        <is>
          <t>University of Florida – Warrington College</t>
        </is>
      </c>
      <c r="C39" s="90" t="n">
        <v>38</v>
      </c>
      <c r="D39" s="90" t="n">
        <v>50</v>
      </c>
      <c r="E39" s="90" t="inlineStr">
        <is>
          <t>Combined (ISOM)</t>
        </is>
      </c>
      <c r="F39" s="90" t="inlineStr">
        <is>
          <t>None</t>
        </is>
      </c>
    </row>
    <row r="40" ht="15" customHeight="1" s="91">
      <c r="A40" s="90" t="inlineStr">
        <is>
          <t>SMU Cox</t>
        </is>
      </c>
      <c r="B40" s="90" t="inlineStr">
        <is>
          <t>Southern Methodist Univ. – Cox School of Business</t>
        </is>
      </c>
      <c r="C40" s="90" t="n">
        <v>39</v>
      </c>
      <c r="D40" s="90" t="n">
        <v>59</v>
      </c>
      <c r="E40" s="90" t="inlineStr">
        <is>
          <t>Combined (ITOM)</t>
        </is>
      </c>
      <c r="F40" s="90" t="inlineStr">
        <is>
          <t>None</t>
        </is>
      </c>
    </row>
    <row r="41" ht="15" customHeight="1" s="91">
      <c r="A41" s="90" t="inlineStr">
        <is>
          <t>UW Foster</t>
        </is>
      </c>
      <c r="B41" s="90" t="inlineStr">
        <is>
          <t>University of Washington – Foster School of Business</t>
        </is>
      </c>
      <c r="C41" s="90" t="n">
        <v>40</v>
      </c>
      <c r="D41" s="90" t="n">
        <v>74</v>
      </c>
      <c r="E41" s="90" t="inlineStr">
        <is>
          <t>Combined (ISOM)</t>
        </is>
      </c>
      <c r="F41" s="90" t="inlineStr">
        <is>
          <t>None</t>
        </is>
      </c>
    </row>
    <row r="42" ht="15" customHeight="1" s="91">
      <c r="A42" s="90" t="inlineStr">
        <is>
          <t>Pitt Katz</t>
        </is>
      </c>
      <c r="B42" s="90" t="inlineStr">
        <is>
          <t>University of Pittsburgh – Katz Graduate School</t>
        </is>
      </c>
      <c r="C42" s="90" t="n">
        <v>41</v>
      </c>
      <c r="D42" s="90" t="n">
        <v>59</v>
      </c>
      <c r="E42" s="90" t="inlineStr">
        <is>
          <t>Separate OM &amp; IS</t>
        </is>
      </c>
      <c r="F42" s="90" t="inlineStr">
        <is>
          <t>BAO includes analytics</t>
        </is>
      </c>
    </row>
    <row r="43" ht="15" customHeight="1" s="91">
      <c r="A43" s="90" t="inlineStr">
        <is>
          <t>NEU DAmore-McKim</t>
        </is>
      </c>
      <c r="B43" s="90" t="inlineStr">
        <is>
          <t>Northeastern – DAmore-McKim School of Business</t>
        </is>
      </c>
      <c r="C43" s="90" t="n">
        <v>42</v>
      </c>
      <c r="D43" s="90" t="n">
        <v>46</v>
      </c>
    </row>
    <row r="44" ht="15" customHeight="1" s="91">
      <c r="A44" s="90" t="inlineStr">
        <is>
          <t>Tulane Freeman</t>
        </is>
      </c>
      <c r="B44" s="90" t="inlineStr">
        <is>
          <t>Tulane University – Freeman School of Business</t>
        </is>
      </c>
      <c r="C44" s="90" t="n">
        <v>43</v>
      </c>
      <c r="D44" s="90" t="n">
        <v>57</v>
      </c>
      <c r="E44" s="90" t="inlineStr">
        <is>
          <t>—</t>
        </is>
      </c>
      <c r="F44" s="90" t="inlineStr">
        <is>
          <t>None</t>
        </is>
      </c>
    </row>
    <row r="45" ht="15" customHeight="1" s="91">
      <c r="A45" s="90" t="inlineStr">
        <is>
          <t>Iowa Tippie</t>
        </is>
      </c>
      <c r="B45" s="90" t="inlineStr">
        <is>
          <t>University of Iowa – Tippie College of Business</t>
        </is>
      </c>
      <c r="C45" s="90" t="n">
        <v>44</v>
      </c>
      <c r="D45" s="90" t="n">
        <v>43</v>
      </c>
      <c r="E45" s="90" t="inlineStr">
        <is>
          <t>—</t>
        </is>
      </c>
      <c r="F45" s="90" t="inlineStr">
        <is>
          <t>Business Analytics</t>
        </is>
      </c>
    </row>
    <row r="46" ht="15" customHeight="1" s="91">
      <c r="A46" s="90" t="inlineStr">
        <is>
          <t>GWU GWSB</t>
        </is>
      </c>
      <c r="B46" s="90" t="inlineStr">
        <is>
          <t>George Washington Univ. – School of Business</t>
        </is>
      </c>
      <c r="C46" s="90" t="n">
        <v>45</v>
      </c>
      <c r="D46" s="90" t="n">
        <v>83</v>
      </c>
      <c r="E46" s="90" t="inlineStr">
        <is>
          <t>Separate OM &amp; IS</t>
        </is>
      </c>
      <c r="F46" s="90" t="inlineStr">
        <is>
          <t>None</t>
        </is>
      </c>
    </row>
    <row r="47" ht="15" customHeight="1" s="91">
      <c r="A47" s="90" t="inlineStr">
        <is>
          <t>BYU Marriott</t>
        </is>
      </c>
      <c r="B47" s="90" t="inlineStr">
        <is>
          <t>Brigham Young Univ. – Marriott School of Business</t>
        </is>
      </c>
      <c r="C47" s="90" t="n">
        <v>46</v>
      </c>
      <c r="D47" s="90" t="n">
        <v>123</v>
      </c>
      <c r="E47" s="90" t="inlineStr">
        <is>
          <t>Separate OM &amp; IS</t>
        </is>
      </c>
      <c r="F47" s="90" t="inlineStr">
        <is>
          <t>None</t>
        </is>
      </c>
    </row>
    <row r="48" ht="15" customHeight="1" s="91">
      <c r="A48" s="90" t="inlineStr">
        <is>
          <t>Rochester Simon</t>
        </is>
      </c>
      <c r="B48" s="90" t="inlineStr">
        <is>
          <t>Univ. of Rochester – Simon Business School</t>
        </is>
      </c>
      <c r="C48" s="90" t="n">
        <v>47</v>
      </c>
      <c r="D48" s="90" t="n">
        <v>43</v>
      </c>
      <c r="E48" s="90" t="inlineStr">
        <is>
          <t>OM only</t>
        </is>
      </c>
      <c r="F48" s="90" t="inlineStr">
        <is>
          <t>None</t>
        </is>
      </c>
    </row>
    <row r="49" ht="15" customHeight="1" s="91">
      <c r="A49" s="90" t="inlineStr">
        <is>
          <t>Wake Forest SoB</t>
        </is>
      </c>
      <c r="B49" s="90" t="inlineStr">
        <is>
          <t>Wake Forest Univ. – School of Business</t>
        </is>
      </c>
      <c r="C49" s="90" t="n">
        <v>48</v>
      </c>
      <c r="D49" s="90" t="n">
        <v>50</v>
      </c>
      <c r="E49" s="90" t="inlineStr">
        <is>
          <t>Combined (Combined mega-dept (AISMOM))</t>
        </is>
      </c>
      <c r="F49" s="90" t="inlineStr">
        <is>
          <t>Combined mega-dept (AISMOM)</t>
        </is>
      </c>
    </row>
    <row r="50" ht="15" customHeight="1" s="91">
      <c r="A50" s="90" t="inlineStr">
        <is>
          <t>Temple Fox</t>
        </is>
      </c>
      <c r="B50" s="90" t="inlineStr">
        <is>
          <t>Temple University – Fox School of Business</t>
        </is>
      </c>
      <c r="C50" s="90" t="n">
        <v>49</v>
      </c>
      <c r="D50" s="90" t="n">
        <v>79</v>
      </c>
      <c r="E50" s="90" t="inlineStr">
        <is>
          <t>Separate OM &amp; IS</t>
        </is>
      </c>
      <c r="F50" s="90" t="inlineStr">
        <is>
          <t>None</t>
        </is>
      </c>
    </row>
    <row r="51" ht="15" customHeight="1" s="91">
      <c r="A51" s="90" t="inlineStr">
        <is>
          <t>Miami Herbert</t>
        </is>
      </c>
      <c r="B51" s="90" t="inlineStr">
        <is>
          <t>University of Miami – Miami Herbert Business School</t>
        </is>
      </c>
      <c r="C51" s="90" t="n">
        <v>50</v>
      </c>
      <c r="D51" s="90" t="n">
        <v>61</v>
      </c>
      <c r="E51" s="90" t="inlineStr">
        <is>
          <t>Separate OM &amp; IS</t>
        </is>
      </c>
      <c r="F51" s="90" t="inlineStr">
        <is>
          <t>None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3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sheetData>
    <row r="1" ht="15" customHeight="1" s="91">
      <c r="A1" s="90" t="inlineStr">
        <is>
          <t>Key</t>
        </is>
      </c>
      <c r="B1" s="90" t="inlineStr">
        <is>
          <t>School</t>
        </is>
      </c>
      <c r="C1" s="90" t="inlineStr">
        <is>
          <t>DeptName</t>
        </is>
      </c>
      <c r="D1" s="90" t="inlineStr">
        <is>
          <t>Faculty</t>
        </is>
      </c>
      <c r="E1" s="90" t="inlineStr">
        <is>
          <t>URL</t>
        </is>
      </c>
    </row>
    <row r="2" ht="15" customHeight="1" s="91">
      <c r="A2" s="90" t="inlineStr">
        <is>
          <t>Wharton|1</t>
        </is>
      </c>
      <c r="B2" s="90" t="inlineStr">
        <is>
          <t>Wharton</t>
        </is>
      </c>
      <c r="C2" s="90" t="inlineStr">
        <is>
          <t>Management</t>
        </is>
      </c>
      <c r="D2" s="90" t="n">
        <v>47</v>
      </c>
      <c r="E2" s="90" t="inlineStr">
        <is>
          <t>https://mgmt.wharton.upenn.edu/faculty/</t>
        </is>
      </c>
    </row>
    <row r="3" ht="15" customHeight="1" s="91">
      <c r="A3" s="90" t="inlineStr">
        <is>
          <t>Wharton|2</t>
        </is>
      </c>
      <c r="B3" s="90" t="inlineStr">
        <is>
          <t>Wharton</t>
        </is>
      </c>
      <c r="C3" s="90" t="inlineStr">
        <is>
          <t>Finance</t>
        </is>
      </c>
      <c r="D3" s="90" t="n">
        <v>39</v>
      </c>
      <c r="E3" s="90" t="inlineStr">
        <is>
          <t>https://fnce.wharton.upenn.edu/faculty/</t>
        </is>
      </c>
    </row>
    <row r="4" ht="15" customHeight="1" s="91">
      <c r="A4" s="90" t="inlineStr">
        <is>
          <t>Wharton|3</t>
        </is>
      </c>
      <c r="B4" s="90" t="inlineStr">
        <is>
          <t>Wharton</t>
        </is>
      </c>
      <c r="C4" s="90" t="inlineStr">
        <is>
          <t>Operations, Information and Decisions (OID)</t>
        </is>
      </c>
      <c r="D4" s="90" t="n">
        <v>30</v>
      </c>
      <c r="E4" s="90" t="inlineStr">
        <is>
          <t>https://oid.wharton.upenn.edu/</t>
        </is>
      </c>
    </row>
    <row r="5" ht="15" customHeight="1" s="91">
      <c r="A5" s="90" t="inlineStr">
        <is>
          <t>Wharton|4</t>
        </is>
      </c>
      <c r="B5" s="90" t="inlineStr">
        <is>
          <t>Wharton</t>
        </is>
      </c>
      <c r="C5" s="90" t="inlineStr">
        <is>
          <t>Marketing</t>
        </is>
      </c>
      <c r="D5" s="90" t="n">
        <v>27</v>
      </c>
      <c r="E5" s="90" t="inlineStr">
        <is>
          <t>https://marketing.wharton.upenn.edu/faculty/</t>
        </is>
      </c>
    </row>
    <row r="6" ht="15" customHeight="1" s="91">
      <c r="A6" s="90" t="inlineStr">
        <is>
          <t>Wharton|5</t>
        </is>
      </c>
      <c r="B6" s="90" t="inlineStr">
        <is>
          <t>Wharton</t>
        </is>
      </c>
      <c r="C6" s="90" t="inlineStr">
        <is>
          <t>Statistics and Data Science</t>
        </is>
      </c>
      <c r="D6" s="90" t="n">
        <v>23</v>
      </c>
      <c r="E6" s="90" t="inlineStr">
        <is>
          <t>https://statistics.wharton.upenn.edu/</t>
        </is>
      </c>
    </row>
    <row r="7" ht="15" customHeight="1" s="91">
      <c r="A7" s="90" t="inlineStr">
        <is>
          <t>Wharton|6</t>
        </is>
      </c>
      <c r="B7" s="90" t="inlineStr">
        <is>
          <t>Wharton</t>
        </is>
      </c>
      <c r="C7" s="90" t="inlineStr">
        <is>
          <t>Accounting</t>
        </is>
      </c>
      <c r="D7" s="90" t="n">
        <v>20</v>
      </c>
      <c r="E7" s="90" t="inlineStr">
        <is>
          <t>https://accounting.wharton.upenn.edu/faculty/</t>
        </is>
      </c>
    </row>
    <row r="8" ht="15" customHeight="1" s="91">
      <c r="A8" s="90" t="inlineStr">
        <is>
          <t>Wharton|7</t>
        </is>
      </c>
      <c r="B8" s="90" t="inlineStr">
        <is>
          <t>Wharton</t>
        </is>
      </c>
      <c r="C8" s="90" t="inlineStr">
        <is>
          <t>Legal Studies &amp; Business Ethics</t>
        </is>
      </c>
      <c r="D8" s="90" t="n">
        <v>20</v>
      </c>
      <c r="E8" s="90" t="inlineStr">
        <is>
          <t>https://lgst.wharton.upenn.edu/faculty/</t>
        </is>
      </c>
    </row>
    <row r="9" ht="15" customHeight="1" s="91">
      <c r="A9" s="90" t="inlineStr">
        <is>
          <t>Wharton|8</t>
        </is>
      </c>
      <c r="B9" s="90" t="inlineStr">
        <is>
          <t>Wharton</t>
        </is>
      </c>
      <c r="C9" s="90" t="inlineStr">
        <is>
          <t>Business Economics &amp; Public Policy</t>
        </is>
      </c>
      <c r="D9" s="90" t="n">
        <v>19</v>
      </c>
      <c r="E9" s="90" t="inlineStr">
        <is>
          <t>https://bepp.wharton.upenn.edu/faculty/</t>
        </is>
      </c>
    </row>
    <row r="10" ht="15" customHeight="1" s="91">
      <c r="A10" s="90" t="inlineStr">
        <is>
          <t>Wharton|9</t>
        </is>
      </c>
      <c r="B10" s="90" t="inlineStr">
        <is>
          <t>Wharton</t>
        </is>
      </c>
      <c r="C10" s="90" t="inlineStr">
        <is>
          <t>Health Care Management</t>
        </is>
      </c>
      <c r="D10" s="90" t="n">
        <v>10</v>
      </c>
      <c r="E10" s="90" t="inlineStr">
        <is>
          <t>https://hcmg.wharton.upenn.edu/faculty/</t>
        </is>
      </c>
    </row>
    <row r="11" ht="15" customHeight="1" s="91">
      <c r="A11" s="90" t="inlineStr">
        <is>
          <t>Wharton|10</t>
        </is>
      </c>
      <c r="B11" s="90" t="inlineStr">
        <is>
          <t>Wharton</t>
        </is>
      </c>
      <c r="C11" s="90" t="inlineStr">
        <is>
          <t>Real Estate</t>
        </is>
      </c>
      <c r="D11" s="90" t="n">
        <v>10</v>
      </c>
      <c r="E11" s="90" t="inlineStr">
        <is>
          <t>https://real-estate.wharton.upenn.edu/faculty/</t>
        </is>
      </c>
    </row>
    <row r="12" ht="15" customHeight="1" s="91">
      <c r="A12" s="90" t="inlineStr">
        <is>
          <t>Harvard HBS|1</t>
        </is>
      </c>
      <c r="B12" s="90" t="inlineStr">
        <is>
          <t>Harvard HBS</t>
        </is>
      </c>
      <c r="C12" s="90" t="inlineStr">
        <is>
          <t>Finance</t>
        </is>
      </c>
      <c r="D12" s="90" t="n">
        <v>27</v>
      </c>
      <c r="E12" s="90" t="inlineStr">
        <is>
          <t>https://www.hbs.edu/faculty/units/finance/Pages/faculty.aspx</t>
        </is>
      </c>
    </row>
    <row r="13" ht="15" customHeight="1" s="91">
      <c r="A13" s="90" t="inlineStr">
        <is>
          <t>Harvard HBS|2</t>
        </is>
      </c>
      <c r="B13" s="90" t="inlineStr">
        <is>
          <t>Harvard HBS</t>
        </is>
      </c>
      <c r="C13" s="90" t="inlineStr">
        <is>
          <t>Entrepreneurial Management</t>
        </is>
      </c>
      <c r="D13" s="90" t="n">
        <v>26</v>
      </c>
      <c r="E13" s="90" t="inlineStr">
        <is>
          <t>https://www.hbs.edu/faculty/units/em/Pages/faculty.aspx</t>
        </is>
      </c>
    </row>
    <row r="14" ht="15" customHeight="1" s="91">
      <c r="A14" s="90" t="inlineStr">
        <is>
          <t>Harvard HBS|3</t>
        </is>
      </c>
      <c r="B14" s="90" t="inlineStr">
        <is>
          <t>Harvard HBS</t>
        </is>
      </c>
      <c r="C14" s="90" t="inlineStr">
        <is>
          <t>Technology &amp; Operations Management (TOM)</t>
        </is>
      </c>
      <c r="D14" s="90" t="n">
        <v>22</v>
      </c>
      <c r="E14" s="90" t="inlineStr">
        <is>
          <t>https://www.hbs.edu/faculty/units/tom/Pages/faculty.aspx</t>
        </is>
      </c>
    </row>
    <row r="15" ht="15" customHeight="1" s="91">
      <c r="A15" s="90" t="inlineStr">
        <is>
          <t>Harvard HBS|4</t>
        </is>
      </c>
      <c r="B15" s="90" t="inlineStr">
        <is>
          <t>Harvard HBS</t>
        </is>
      </c>
      <c r="C15" s="90" t="inlineStr">
        <is>
          <t>Negotiation, Organizations &amp; Markets</t>
        </is>
      </c>
      <c r="D15" s="90" t="n">
        <v>21</v>
      </c>
      <c r="E15" s="90" t="inlineStr">
        <is>
          <t>https://www.hbs.edu/faculty/units/nom/Pages/faculty.aspx</t>
        </is>
      </c>
    </row>
    <row r="16" ht="15" customHeight="1" s="91">
      <c r="A16" s="90" t="inlineStr">
        <is>
          <t>Harvard HBS|5</t>
        </is>
      </c>
      <c r="B16" s="90" t="inlineStr">
        <is>
          <t>Harvard HBS</t>
        </is>
      </c>
      <c r="C16" s="90" t="inlineStr">
        <is>
          <t>Organizational Behavior</t>
        </is>
      </c>
      <c r="D16" s="90" t="n">
        <v>19</v>
      </c>
      <c r="E16" s="90" t="inlineStr">
        <is>
          <t>https://www.hbs.edu/faculty/units/ob/Pages/faculty.aspx</t>
        </is>
      </c>
    </row>
    <row r="17" ht="15" customHeight="1" s="91">
      <c r="A17" s="90" t="inlineStr">
        <is>
          <t>Harvard HBS|6</t>
        </is>
      </c>
      <c r="B17" s="90" t="inlineStr">
        <is>
          <t>Harvard HBS</t>
        </is>
      </c>
      <c r="C17" s="90" t="inlineStr">
        <is>
          <t>Strategy</t>
        </is>
      </c>
      <c r="D17" s="90" t="n">
        <v>19</v>
      </c>
      <c r="E17" s="90" t="inlineStr">
        <is>
          <t>https://www.hbs.edu/faculty/units/strategy/Pages/faculty.aspx</t>
        </is>
      </c>
    </row>
    <row r="18" ht="15" customHeight="1" s="91">
      <c r="A18" s="90" t="inlineStr">
        <is>
          <t>Harvard HBS|7</t>
        </is>
      </c>
      <c r="B18" s="90" t="inlineStr">
        <is>
          <t>Harvard HBS</t>
        </is>
      </c>
      <c r="C18" s="90" t="inlineStr">
        <is>
          <t>Business, Government &amp; the International Economy</t>
        </is>
      </c>
      <c r="D18" s="90" t="n">
        <v>18</v>
      </c>
      <c r="E18" s="90" t="inlineStr">
        <is>
          <t>https://www.hbs.edu/faculty/units/bgie/Pages/faculty.aspx</t>
        </is>
      </c>
    </row>
    <row r="19" ht="15" customHeight="1" s="91">
      <c r="A19" s="90" t="inlineStr">
        <is>
          <t>Harvard HBS|8</t>
        </is>
      </c>
      <c r="B19" s="90" t="inlineStr">
        <is>
          <t>Harvard HBS</t>
        </is>
      </c>
      <c r="C19" s="90" t="inlineStr">
        <is>
          <t>Marketing</t>
        </is>
      </c>
      <c r="D19" s="90" t="n">
        <v>15</v>
      </c>
      <c r="E19" s="90" t="inlineStr">
        <is>
          <t>https://www.hbs.edu/faculty/units/marketing/Pages/faculty.aspx</t>
        </is>
      </c>
    </row>
    <row r="20" ht="15" customHeight="1" s="91">
      <c r="A20" s="90" t="inlineStr">
        <is>
          <t>Harvard HBS|9</t>
        </is>
      </c>
      <c r="B20" s="90" t="inlineStr">
        <is>
          <t>Harvard HBS</t>
        </is>
      </c>
      <c r="C20" s="90" t="inlineStr">
        <is>
          <t>Accounting &amp; Management</t>
        </is>
      </c>
      <c r="D20" s="90" t="n">
        <v>13</v>
      </c>
      <c r="E20" s="90" t="inlineStr">
        <is>
          <t>https://www.hbs.edu/faculty/units/am/Pages/faculty.aspx</t>
        </is>
      </c>
    </row>
    <row r="21" ht="15" customHeight="1" s="91">
      <c r="A21" s="90" t="inlineStr">
        <is>
          <t>Harvard HBS|10</t>
        </is>
      </c>
      <c r="B21" s="90" t="inlineStr">
        <is>
          <t>Harvard HBS</t>
        </is>
      </c>
      <c r="C21" s="90" t="inlineStr">
        <is>
          <t>General Management</t>
        </is>
      </c>
      <c r="D21" s="90" t="n">
        <v>10</v>
      </c>
      <c r="E21" s="90" t="inlineStr">
        <is>
          <t>https://www.hbs.edu/faculty/units/gm/Pages/faculty.aspx</t>
        </is>
      </c>
    </row>
    <row r="22" ht="15" customHeight="1" s="91">
      <c r="A22" s="90" t="inlineStr">
        <is>
          <t>Chicago Booth|1</t>
        </is>
      </c>
      <c r="B22" s="90" t="inlineStr">
        <is>
          <t>Chicago Booth</t>
        </is>
      </c>
      <c r="C22" s="90" t="inlineStr">
        <is>
          <t>Finance</t>
        </is>
      </c>
      <c r="D22" s="90" t="n">
        <v>28</v>
      </c>
      <c r="E22" s="90" t="inlineStr">
        <is>
          <t>https://chicagobooth.edu/faculty/academic-areas</t>
        </is>
      </c>
    </row>
    <row r="23" ht="15" customHeight="1" s="91">
      <c r="A23" s="90" t="inlineStr">
        <is>
          <t>Chicago Booth|2</t>
        </is>
      </c>
      <c r="B23" s="90" t="inlineStr">
        <is>
          <t>Chicago Booth</t>
        </is>
      </c>
      <c r="C23" s="90" t="inlineStr">
        <is>
          <t>Microeconomics</t>
        </is>
      </c>
      <c r="D23" s="90" t="n">
        <v>22</v>
      </c>
      <c r="E23" s="90" t="inlineStr">
        <is>
          <t>https://chicagobooth.edu/faculty/academic-areas</t>
        </is>
      </c>
    </row>
    <row r="24" ht="15" customHeight="1" s="91">
      <c r="A24" s="90" t="inlineStr">
        <is>
          <t>Chicago Booth|3</t>
        </is>
      </c>
      <c r="B24" s="90" t="inlineStr">
        <is>
          <t>Chicago Booth</t>
        </is>
      </c>
      <c r="C24" s="90" t="inlineStr">
        <is>
          <t>Accounting</t>
        </is>
      </c>
      <c r="D24" s="90" t="n">
        <v>21</v>
      </c>
      <c r="E24" s="90" t="inlineStr">
        <is>
          <t>https://chicagobooth.edu/faculty/academic-areas</t>
        </is>
      </c>
    </row>
    <row r="25" ht="15" customHeight="1" s="91">
      <c r="A25" s="90" t="inlineStr">
        <is>
          <t>Chicago Booth|4</t>
        </is>
      </c>
      <c r="B25" s="90" t="inlineStr">
        <is>
          <t>Chicago Booth</t>
        </is>
      </c>
      <c r="C25" s="90" t="inlineStr">
        <is>
          <t>Behavioral Science</t>
        </is>
      </c>
      <c r="D25" s="90" t="n">
        <v>18</v>
      </c>
      <c r="E25" s="90" t="inlineStr">
        <is>
          <t>https://chicagobooth.edu/faculty/academic-areas</t>
        </is>
      </c>
    </row>
    <row r="26" ht="15" customHeight="1" s="91">
      <c r="A26" s="90" t="inlineStr">
        <is>
          <t>Chicago Booth|5</t>
        </is>
      </c>
      <c r="B26" s="90" t="inlineStr">
        <is>
          <t>Chicago Booth</t>
        </is>
      </c>
      <c r="C26" s="90" t="inlineStr">
        <is>
          <t>Marketing</t>
        </is>
      </c>
      <c r="D26" s="90" t="n">
        <v>17</v>
      </c>
      <c r="E26" s="90" t="inlineStr">
        <is>
          <t>https://chicagobooth.edu/faculty/academic-areas</t>
        </is>
      </c>
    </row>
    <row r="27" ht="15" customHeight="1" s="91">
      <c r="A27" s="90" t="inlineStr">
        <is>
          <t>Chicago Booth|6</t>
        </is>
      </c>
      <c r="B27" s="90" t="inlineStr">
        <is>
          <t>Chicago Booth</t>
        </is>
      </c>
      <c r="C27" s="90" t="inlineStr">
        <is>
          <t>Econometrics &amp; Statistics</t>
        </is>
      </c>
      <c r="D27" s="90" t="n">
        <v>14</v>
      </c>
      <c r="E27" s="90" t="inlineStr">
        <is>
          <t>https://chicagobooth.edu/faculty/academic-areas</t>
        </is>
      </c>
    </row>
    <row r="28" ht="15" customHeight="1" s="91">
      <c r="A28" s="90" t="inlineStr">
        <is>
          <t>Chicago Booth|7</t>
        </is>
      </c>
      <c r="B28" s="90" t="inlineStr">
        <is>
          <t>Chicago Booth</t>
        </is>
      </c>
      <c r="C28" s="90" t="inlineStr">
        <is>
          <t>Macroeconomics</t>
        </is>
      </c>
      <c r="D28" s="90" t="n">
        <v>14</v>
      </c>
      <c r="E28" s="90" t="inlineStr">
        <is>
          <t>https://chicagobooth.edu/faculty/academic-areas</t>
        </is>
      </c>
    </row>
    <row r="29" ht="15" customHeight="1" s="91">
      <c r="A29" s="90" t="inlineStr">
        <is>
          <t>Chicago Booth|8</t>
        </is>
      </c>
      <c r="B29" s="90" t="inlineStr">
        <is>
          <t>Chicago Booth</t>
        </is>
      </c>
      <c r="C29" s="90" t="inlineStr">
        <is>
          <t>Operations Management</t>
        </is>
      </c>
      <c r="D29" s="90" t="n">
        <v>12</v>
      </c>
      <c r="E29" s="90" t="inlineStr">
        <is>
          <t>https://www.chicagobooth.edu/faculty/academic-areas/operations-management</t>
        </is>
      </c>
    </row>
    <row r="30" ht="15" customHeight="1" s="91">
      <c r="A30" s="90" t="inlineStr">
        <is>
          <t>Chicago Booth|9</t>
        </is>
      </c>
      <c r="B30" s="90" t="inlineStr">
        <is>
          <t>Chicago Booth</t>
        </is>
      </c>
      <c r="C30" s="90" t="inlineStr">
        <is>
          <t>Entrepreneurship</t>
        </is>
      </c>
      <c r="D30" s="90" t="n">
        <v>4</v>
      </c>
      <c r="E30" s="90" t="inlineStr">
        <is>
          <t>https://chicagobooth.edu/faculty/academic-areas</t>
        </is>
      </c>
    </row>
    <row r="31" ht="15" customHeight="1" s="91">
      <c r="A31" s="90" t="inlineStr">
        <is>
          <t>Chicago Booth|10</t>
        </is>
      </c>
      <c r="B31" s="90" t="inlineStr">
        <is>
          <t>Chicago Booth</t>
        </is>
      </c>
      <c r="C31" s="90" t="inlineStr">
        <is>
          <t>Applied AI</t>
        </is>
      </c>
      <c r="D31" s="90" t="n">
        <v>1</v>
      </c>
      <c r="E31" s="90" t="inlineStr">
        <is>
          <t>https://chicagobooth.edu/faculty/academic-areas</t>
        </is>
      </c>
    </row>
    <row r="32" ht="15" customHeight="1" s="91">
      <c r="A32" s="90" t="inlineStr">
        <is>
          <t>Chicago Booth|11</t>
        </is>
      </c>
      <c r="B32" s="90" t="inlineStr">
        <is>
          <t>Chicago Booth</t>
        </is>
      </c>
      <c r="C32" s="90" t="inlineStr">
        <is>
          <t>Strategy &amp; Leadership</t>
        </is>
      </c>
      <c r="D32" s="90" t="n">
        <v>0</v>
      </c>
      <c r="E32" s="90" t="inlineStr">
        <is>
          <t>https://chicagobooth.edu/faculty/academic-areas</t>
        </is>
      </c>
    </row>
    <row r="33" ht="15" customHeight="1" s="91">
      <c r="A33" s="90" t="inlineStr">
        <is>
          <t>Kellogg|1</t>
        </is>
      </c>
      <c r="B33" s="90" t="inlineStr">
        <is>
          <t>Kellogg</t>
        </is>
      </c>
      <c r="C33" s="90" t="inlineStr">
        <is>
          <t>Finance</t>
        </is>
      </c>
      <c r="D33" s="90" t="n">
        <v>28</v>
      </c>
      <c r="E33" s="90" t="inlineStr">
        <is>
          <t>https://kellogg.northwestern.edu/academics-research/academic-departments/</t>
        </is>
      </c>
    </row>
    <row r="34" ht="15" customHeight="1" s="91">
      <c r="A34" s="90" t="inlineStr">
        <is>
          <t>Kellogg|2</t>
        </is>
      </c>
      <c r="B34" s="90" t="inlineStr">
        <is>
          <t>Kellogg</t>
        </is>
      </c>
      <c r="C34" s="90" t="inlineStr">
        <is>
          <t>Management &amp; Organizations</t>
        </is>
      </c>
      <c r="D34" s="90" t="n">
        <v>25</v>
      </c>
      <c r="E34" s="90" t="inlineStr">
        <is>
          <t>https://kellogg.northwestern.edu/academics-research/academic-departments/</t>
        </is>
      </c>
    </row>
    <row r="35" ht="15" customHeight="1" s="91">
      <c r="A35" s="90" t="inlineStr">
        <is>
          <t>Kellogg|3</t>
        </is>
      </c>
      <c r="B35" s="90" t="inlineStr">
        <is>
          <t>Kellogg</t>
        </is>
      </c>
      <c r="C35" s="90" t="inlineStr">
        <is>
          <t>Strategy</t>
        </is>
      </c>
      <c r="D35" s="90" t="n">
        <v>25</v>
      </c>
      <c r="E35" s="90" t="inlineStr">
        <is>
          <t>https://kellogg.northwestern.edu/academics-research/academic-departments/</t>
        </is>
      </c>
    </row>
    <row r="36" ht="15" customHeight="1" s="91">
      <c r="A36" s="90" t="inlineStr">
        <is>
          <t>Kellogg|4</t>
        </is>
      </c>
      <c r="B36" s="90" t="inlineStr">
        <is>
          <t>Kellogg</t>
        </is>
      </c>
      <c r="C36" s="90" t="inlineStr">
        <is>
          <t>Marketing</t>
        </is>
      </c>
      <c r="D36" s="90" t="n">
        <v>23</v>
      </c>
      <c r="E36" s="90" t="inlineStr">
        <is>
          <t>https://kellogg.northwestern.edu/academics-research/academic-departments/</t>
        </is>
      </c>
    </row>
    <row r="37" ht="15" customHeight="1" s="91">
      <c r="A37" s="90" t="inlineStr">
        <is>
          <t>Kellogg|5</t>
        </is>
      </c>
      <c r="B37" s="90" t="inlineStr">
        <is>
          <t>Kellogg</t>
        </is>
      </c>
      <c r="C37" s="90" t="inlineStr">
        <is>
          <t>MEDS (Analytics &amp; Decision Sciences)</t>
        </is>
      </c>
      <c r="D37" s="90" t="n">
        <v>20</v>
      </c>
      <c r="E37" s="90" t="inlineStr">
        <is>
          <t>https://www.kellogg.northwestern.edu/faculty/academics/managerial-economics-decision-sciences.aspx</t>
        </is>
      </c>
    </row>
    <row r="38" ht="15" customHeight="1" s="91">
      <c r="A38" s="90" t="inlineStr">
        <is>
          <t>Kellogg|6</t>
        </is>
      </c>
      <c r="B38" s="90" t="inlineStr">
        <is>
          <t>Kellogg</t>
        </is>
      </c>
      <c r="C38" s="90" t="inlineStr">
        <is>
          <t>Managerial Economics &amp; Decision Sciences (MEDS)</t>
        </is>
      </c>
      <c r="D38" s="90" t="n">
        <v>19</v>
      </c>
      <c r="E38" s="90" t="inlineStr">
        <is>
          <t>https://www.kellogg.northwestern.edu/faculty/academics/managerial-economics-decision-sciences.aspx</t>
        </is>
      </c>
    </row>
    <row r="39" ht="15" customHeight="1" s="91">
      <c r="A39" s="90" t="inlineStr">
        <is>
          <t>Kellogg|7</t>
        </is>
      </c>
      <c r="B39" s="90" t="inlineStr">
        <is>
          <t>Kellogg</t>
        </is>
      </c>
      <c r="C39" s="90" t="inlineStr">
        <is>
          <t>Operations</t>
        </is>
      </c>
      <c r="D39" s="90" t="n">
        <v>14</v>
      </c>
      <c r="E39" s="90" t="inlineStr">
        <is>
          <t>https://www.kellogg.northwestern.edu/faculty/academics/operations.aspx</t>
        </is>
      </c>
    </row>
    <row r="40" ht="15" customHeight="1" s="91">
      <c r="A40" s="90" t="inlineStr">
        <is>
          <t>Kellogg|8</t>
        </is>
      </c>
      <c r="B40" s="90" t="inlineStr">
        <is>
          <t>Kellogg</t>
        </is>
      </c>
      <c r="C40" s="90" t="inlineStr">
        <is>
          <t>Accounting Information &amp; Management</t>
        </is>
      </c>
      <c r="D40" s="90" t="n">
        <v>11</v>
      </c>
      <c r="E40" s="90" t="inlineStr">
        <is>
          <t>https://kellogg.northwestern.edu/academics-research/academic-departments/</t>
        </is>
      </c>
    </row>
    <row r="41" ht="15" customHeight="1" s="91">
      <c r="A41" s="90" t="inlineStr">
        <is>
          <t>MIT Sloan|1</t>
        </is>
      </c>
      <c r="B41" s="90" t="inlineStr">
        <is>
          <t>MIT Sloan</t>
        </is>
      </c>
      <c r="C41" s="90" t="inlineStr">
        <is>
          <t>Finance</t>
        </is>
      </c>
      <c r="D41" s="90" t="n">
        <v>21</v>
      </c>
      <c r="E41" s="90" t="inlineStr">
        <is>
          <t>https://mitsloan.mit.edu/faculty/academic-groups</t>
        </is>
      </c>
    </row>
    <row r="42" ht="15" customHeight="1" s="91">
      <c r="A42" s="90" t="inlineStr">
        <is>
          <t>MIT Sloan|2</t>
        </is>
      </c>
      <c r="B42" s="90" t="inlineStr">
        <is>
          <t>MIT Sloan</t>
        </is>
      </c>
      <c r="C42" s="90" t="inlineStr">
        <is>
          <t>Applied Economics</t>
        </is>
      </c>
      <c r="D42" s="90" t="n">
        <v>15</v>
      </c>
      <c r="E42" s="90" t="inlineStr">
        <is>
          <t>https://mitsloan.mit.edu/faculty/academic-groups</t>
        </is>
      </c>
    </row>
    <row r="43" ht="15" customHeight="1" s="91">
      <c r="A43" s="90" t="inlineStr">
        <is>
          <t>MIT Sloan|3</t>
        </is>
      </c>
      <c r="B43" s="90" t="inlineStr">
        <is>
          <t>MIT Sloan</t>
        </is>
      </c>
      <c r="C43" s="90" t="inlineStr">
        <is>
          <t>Work &amp; Organization Studies</t>
        </is>
      </c>
      <c r="D43" s="90" t="n">
        <v>15</v>
      </c>
      <c r="E43" s="90" t="inlineStr">
        <is>
          <t>https://mitsloan.mit.edu/faculty/academic-groups</t>
        </is>
      </c>
    </row>
    <row r="44" ht="15" customHeight="1" s="91">
      <c r="A44" s="90" t="inlineStr">
        <is>
          <t>MIT Sloan|4</t>
        </is>
      </c>
      <c r="B44" s="90" t="inlineStr">
        <is>
          <t>MIT Sloan</t>
        </is>
      </c>
      <c r="C44" s="90" t="inlineStr">
        <is>
          <t>Operations Research &amp; Statistics</t>
        </is>
      </c>
      <c r="D44" s="90" t="n">
        <v>14</v>
      </c>
      <c r="E44" s="90" t="inlineStr">
        <is>
          <t>https://mitsloan.mit.edu/faculty/academic-groups/operations-research-statistics</t>
        </is>
      </c>
    </row>
    <row r="45" ht="15" customHeight="1" s="91">
      <c r="A45" s="90" t="inlineStr">
        <is>
          <t>MIT Sloan|5</t>
        </is>
      </c>
      <c r="B45" s="90" t="inlineStr">
        <is>
          <t>MIT Sloan</t>
        </is>
      </c>
      <c r="C45" s="90" t="inlineStr">
        <is>
          <t>Operations Management</t>
        </is>
      </c>
      <c r="D45" s="90" t="n">
        <v>12</v>
      </c>
      <c r="E45" s="90" t="inlineStr">
        <is>
          <t>https://mitsloan.mit.edu/faculty/academic-groups/operations-management</t>
        </is>
      </c>
    </row>
    <row r="46" ht="15" customHeight="1" s="91">
      <c r="A46" s="90" t="inlineStr">
        <is>
          <t>MIT Sloan|6</t>
        </is>
      </c>
      <c r="B46" s="90" t="inlineStr">
        <is>
          <t>MIT Sloan</t>
        </is>
      </c>
      <c r="C46" s="90" t="inlineStr">
        <is>
          <t>Technological Innovation, Entrepreneurship &amp; Strategic Management</t>
        </is>
      </c>
      <c r="D46" s="90" t="n">
        <v>11</v>
      </c>
      <c r="E46" s="90" t="inlineStr">
        <is>
          <t>https://mitsloan.mit.edu/faculty/academic-groups</t>
        </is>
      </c>
    </row>
    <row r="47" ht="15" customHeight="1" s="91">
      <c r="A47" s="90" t="inlineStr">
        <is>
          <t>MIT Sloan|7</t>
        </is>
      </c>
      <c r="B47" s="90" t="inlineStr">
        <is>
          <t>MIT Sloan</t>
        </is>
      </c>
      <c r="C47" s="90" t="inlineStr">
        <is>
          <t>Information Technology</t>
        </is>
      </c>
      <c r="D47" s="90" t="n">
        <v>9</v>
      </c>
      <c r="E47" s="90" t="inlineStr">
        <is>
          <t>https://mitsloan.mit.edu/faculty/academic-groups/information-technology</t>
        </is>
      </c>
    </row>
    <row r="48" ht="15" customHeight="1" s="91">
      <c r="A48" s="90" t="inlineStr">
        <is>
          <t>MIT Sloan|8</t>
        </is>
      </c>
      <c r="B48" s="90" t="inlineStr">
        <is>
          <t>MIT Sloan</t>
        </is>
      </c>
      <c r="C48" s="90" t="inlineStr">
        <is>
          <t>Accounting</t>
        </is>
      </c>
      <c r="D48" s="90" t="n">
        <v>9</v>
      </c>
      <c r="E48" s="90" t="inlineStr">
        <is>
          <t>https://mitsloan.mit.edu/faculty/academic-groups</t>
        </is>
      </c>
    </row>
    <row r="49" ht="15" customHeight="1" s="91">
      <c r="A49" s="90" t="inlineStr">
        <is>
          <t>MIT Sloan|9</t>
        </is>
      </c>
      <c r="B49" s="90" t="inlineStr">
        <is>
          <t>MIT Sloan</t>
        </is>
      </c>
      <c r="C49" s="90" t="inlineStr">
        <is>
          <t>Marketing</t>
        </is>
      </c>
      <c r="D49" s="90" t="n">
        <v>9</v>
      </c>
      <c r="E49" s="90" t="inlineStr">
        <is>
          <t>https://mitsloan.mit.edu/faculty/academic-groups</t>
        </is>
      </c>
    </row>
    <row r="50" ht="15" customHeight="1" s="91">
      <c r="A50" s="90" t="inlineStr">
        <is>
          <t>MIT Sloan|10</t>
        </is>
      </c>
      <c r="B50" s="90" t="inlineStr">
        <is>
          <t>MIT Sloan</t>
        </is>
      </c>
      <c r="C50" s="90" t="inlineStr">
        <is>
          <t>Global Economics &amp; Management</t>
        </is>
      </c>
      <c r="D50" s="90" t="n">
        <v>5</v>
      </c>
      <c r="E50" s="90" t="inlineStr">
        <is>
          <t>https://mitsloan.mit.edu/faculty/academic-groups</t>
        </is>
      </c>
    </row>
    <row r="51" ht="15" customHeight="1" s="91">
      <c r="A51" s="90" t="inlineStr">
        <is>
          <t>MIT Sloan|11</t>
        </is>
      </c>
      <c r="B51" s="90" t="inlineStr">
        <is>
          <t>MIT Sloan</t>
        </is>
      </c>
      <c r="C51" s="90" t="inlineStr">
        <is>
          <t>System Dynamics</t>
        </is>
      </c>
      <c r="D51" s="90" t="n">
        <v>5</v>
      </c>
      <c r="E51" s="90" t="inlineStr">
        <is>
          <t>https://mitsloan.mit.edu/faculty/academic-groups</t>
        </is>
      </c>
    </row>
    <row r="52" ht="15" customHeight="1" s="91">
      <c r="A52" s="90" t="inlineStr">
        <is>
          <t>Stanford GSB|1</t>
        </is>
      </c>
      <c r="B52" s="90" t="inlineStr">
        <is>
          <t>Stanford GSB</t>
        </is>
      </c>
      <c r="C52" s="90" t="inlineStr">
        <is>
          <t>Economic Analysis &amp; Policy</t>
        </is>
      </c>
      <c r="D52" s="90" t="n">
        <v>25</v>
      </c>
      <c r="E52" s="90" t="inlineStr">
        <is>
          <t>https://gsb.stanford.edu/faculty-research/faculty/academic-areas</t>
        </is>
      </c>
    </row>
    <row r="53" ht="15" customHeight="1" s="91">
      <c r="A53" s="90" t="inlineStr">
        <is>
          <t>Stanford GSB|2</t>
        </is>
      </c>
      <c r="B53" s="90" t="inlineStr">
        <is>
          <t>Stanford GSB</t>
        </is>
      </c>
      <c r="C53" s="90" t="inlineStr">
        <is>
          <t>Organizational Behavior</t>
        </is>
      </c>
      <c r="D53" s="90" t="n">
        <v>23</v>
      </c>
      <c r="E53" s="90" t="inlineStr">
        <is>
          <t>https://gsb.stanford.edu/faculty-research/faculty/academic-areas</t>
        </is>
      </c>
    </row>
    <row r="54" ht="15" customHeight="1" s="91">
      <c r="A54" s="90" t="inlineStr">
        <is>
          <t>Stanford GSB|3</t>
        </is>
      </c>
      <c r="B54" s="90" t="inlineStr">
        <is>
          <t>Stanford GSB</t>
        </is>
      </c>
      <c r="C54" s="90" t="inlineStr">
        <is>
          <t>Finance</t>
        </is>
      </c>
      <c r="D54" s="90" t="n">
        <v>22</v>
      </c>
      <c r="E54" s="90" t="inlineStr">
        <is>
          <t>https://gsb.stanford.edu/faculty-research/faculty/academic-areas</t>
        </is>
      </c>
    </row>
    <row r="55" ht="15" customHeight="1" s="91">
      <c r="A55" s="90" t="inlineStr">
        <is>
          <t>Stanford GSB|4</t>
        </is>
      </c>
      <c r="B55" s="90" t="inlineStr">
        <is>
          <t>Stanford GSB</t>
        </is>
      </c>
      <c r="C55" s="90" t="inlineStr">
        <is>
          <t>Accounting</t>
        </is>
      </c>
      <c r="D55" s="90" t="n">
        <v>15</v>
      </c>
      <c r="E55" s="90" t="inlineStr">
        <is>
          <t>https://gsb.stanford.edu/faculty-research/faculty/academic-areas</t>
        </is>
      </c>
    </row>
    <row r="56" ht="15" customHeight="1" s="91">
      <c r="A56" s="90" t="inlineStr">
        <is>
          <t>Stanford GSB|5</t>
        </is>
      </c>
      <c r="B56" s="90" t="inlineStr">
        <is>
          <t>Stanford GSB</t>
        </is>
      </c>
      <c r="C56" s="90" t="inlineStr">
        <is>
          <t>Marketing</t>
        </is>
      </c>
      <c r="D56" s="90" t="n">
        <v>15</v>
      </c>
      <c r="E56" s="90" t="inlineStr">
        <is>
          <t>https://gsb.stanford.edu/faculty-research/faculty/academic-areas</t>
        </is>
      </c>
    </row>
    <row r="57" ht="15" customHeight="1" s="91">
      <c r="A57" s="90" t="inlineStr">
        <is>
          <t>Stanford GSB|6</t>
        </is>
      </c>
      <c r="B57" s="90" t="inlineStr">
        <is>
          <t>Stanford GSB</t>
        </is>
      </c>
      <c r="C57" s="90" t="inlineStr">
        <is>
          <t>Operations, Information &amp; Technology</t>
        </is>
      </c>
      <c r="D57" s="90" t="n">
        <v>12</v>
      </c>
      <c r="E57" s="90" t="inlineStr">
        <is>
          <t>https://www.gsb.stanford.edu/faculty-research/faculty/academic-areas/operations-information-technology</t>
        </is>
      </c>
    </row>
    <row r="58" ht="15" customHeight="1" s="91">
      <c r="A58" s="90" t="inlineStr">
        <is>
          <t>Stanford GSB|7</t>
        </is>
      </c>
      <c r="B58" s="90" t="inlineStr">
        <is>
          <t>Stanford GSB</t>
        </is>
      </c>
      <c r="C58" s="90" t="inlineStr">
        <is>
          <t>Political Economy</t>
        </is>
      </c>
      <c r="D58" s="90" t="n">
        <v>11</v>
      </c>
      <c r="E58" s="90" t="inlineStr">
        <is>
          <t>https://gsb.stanford.edu/faculty-research/faculty/academic-areas</t>
        </is>
      </c>
    </row>
    <row r="59" ht="15" customHeight="1" s="91">
      <c r="A59" s="90" t="inlineStr">
        <is>
          <t>Columbia CBS|1</t>
        </is>
      </c>
      <c r="B59" s="90" t="inlineStr">
        <is>
          <t>Columbia CBS</t>
        </is>
      </c>
      <c r="C59" s="90" t="inlineStr">
        <is>
          <t>Management</t>
        </is>
      </c>
      <c r="D59" s="90" t="n">
        <v>29</v>
      </c>
      <c r="E59" s="90" t="inlineStr">
        <is>
          <t>https://business.columbia.edu/faculty/divisions</t>
        </is>
      </c>
    </row>
    <row r="60" ht="15" customHeight="1" s="91">
      <c r="A60" s="90" t="inlineStr">
        <is>
          <t>Columbia CBS|2</t>
        </is>
      </c>
      <c r="B60" s="90" t="inlineStr">
        <is>
          <t>Columbia CBS</t>
        </is>
      </c>
      <c r="C60" s="90" t="inlineStr">
        <is>
          <t>Finance</t>
        </is>
      </c>
      <c r="D60" s="90" t="n">
        <v>24</v>
      </c>
      <c r="E60" s="90" t="inlineStr">
        <is>
          <t>https://business.columbia.edu/faculty/divisions</t>
        </is>
      </c>
    </row>
    <row r="61" ht="15" customHeight="1" s="91">
      <c r="A61" s="90" t="inlineStr">
        <is>
          <t>Columbia CBS|3</t>
        </is>
      </c>
      <c r="B61" s="90" t="inlineStr">
        <is>
          <t>Columbia CBS</t>
        </is>
      </c>
      <c r="C61" s="90" t="inlineStr">
        <is>
          <t>Economics</t>
        </is>
      </c>
      <c r="D61" s="90" t="n">
        <v>21</v>
      </c>
      <c r="E61" s="90" t="inlineStr">
        <is>
          <t>https://business.columbia.edu/faculty/divisions</t>
        </is>
      </c>
    </row>
    <row r="62" ht="15" customHeight="1" s="91">
      <c r="A62" s="90" t="inlineStr">
        <is>
          <t>Columbia CBS|4</t>
        </is>
      </c>
      <c r="B62" s="90" t="inlineStr">
        <is>
          <t>Columbia CBS</t>
        </is>
      </c>
      <c r="C62" s="90" t="inlineStr">
        <is>
          <t>Marketing</t>
        </is>
      </c>
      <c r="D62" s="90" t="n">
        <v>21</v>
      </c>
      <c r="E62" s="90" t="inlineStr">
        <is>
          <t>https://business.columbia.edu/faculty/divisions</t>
        </is>
      </c>
    </row>
    <row r="63" ht="15" customHeight="1" s="91">
      <c r="A63" s="90" t="inlineStr">
        <is>
          <t>Columbia CBS|5</t>
        </is>
      </c>
      <c r="B63" s="90" t="inlineStr">
        <is>
          <t>Columbia CBS</t>
        </is>
      </c>
      <c r="C63" s="90" t="inlineStr">
        <is>
          <t>Decision, Risk, and Operations (DRO)</t>
        </is>
      </c>
      <c r="D63" s="90" t="n">
        <v>17</v>
      </c>
      <c r="E63" s="90" t="inlineStr">
        <is>
          <t>https://business.columbia.edu/faculty/divisions/dro</t>
        </is>
      </c>
    </row>
    <row r="64" ht="15" customHeight="1" s="91">
      <c r="A64" s="90" t="inlineStr">
        <is>
          <t>Columbia CBS|6</t>
        </is>
      </c>
      <c r="B64" s="90" t="inlineStr">
        <is>
          <t>Columbia CBS</t>
        </is>
      </c>
      <c r="C64" s="90" t="inlineStr">
        <is>
          <t>Accounting</t>
        </is>
      </c>
      <c r="D64" s="90" t="n">
        <v>11</v>
      </c>
      <c r="E64" s="90" t="inlineStr">
        <is>
          <t>https://business.columbia.edu/faculty/divisions</t>
        </is>
      </c>
    </row>
    <row r="65" ht="15" customHeight="1" s="91">
      <c r="A65" s="90" t="inlineStr">
        <is>
          <t>NYU Stern|1</t>
        </is>
      </c>
      <c r="B65" s="90" t="inlineStr">
        <is>
          <t>NYU Stern</t>
        </is>
      </c>
      <c r="C65" s="90" t="inlineStr">
        <is>
          <t>Technology, Operations &amp; Statistics (TOPS)</t>
        </is>
      </c>
      <c r="D65" s="90" t="n">
        <v>34</v>
      </c>
      <c r="E65" s="90" t="inlineStr">
        <is>
          <t>https://www.stern.nyu.edu/experience-stern/about/departments-centers-initiatives/academic-departments/tops</t>
        </is>
      </c>
    </row>
    <row r="66" ht="15" customHeight="1" s="91">
      <c r="A66" s="90" t="inlineStr">
        <is>
          <t>NYU Stern|2</t>
        </is>
      </c>
      <c r="B66" s="90" t="inlineStr">
        <is>
          <t>NYU Stern</t>
        </is>
      </c>
      <c r="C66" s="90" t="inlineStr">
        <is>
          <t>Finance</t>
        </is>
      </c>
      <c r="D66" s="90" t="n">
        <v>32</v>
      </c>
      <c r="E66" s="90" t="inlineStr">
        <is>
          <t>https://stern.nyu.edu/experience-stern/departments-centers-initiatives</t>
        </is>
      </c>
    </row>
    <row r="67" ht="15" customHeight="1" s="91">
      <c r="A67" s="90" t="inlineStr">
        <is>
          <t>NYU Stern|3</t>
        </is>
      </c>
      <c r="B67" s="90" t="inlineStr">
        <is>
          <t>NYU Stern</t>
        </is>
      </c>
      <c r="C67" s="90" t="inlineStr">
        <is>
          <t>Management &amp; Organizations</t>
        </is>
      </c>
      <c r="D67" s="90" t="n">
        <v>31</v>
      </c>
      <c r="E67" s="90" t="inlineStr">
        <is>
          <t>https://stern.nyu.edu/experience-stern/departments-centers-initiatives</t>
        </is>
      </c>
    </row>
    <row r="68" ht="15" customHeight="1" s="91">
      <c r="A68" s="90" t="inlineStr">
        <is>
          <t>NYU Stern|4</t>
        </is>
      </c>
      <c r="B68" s="90" t="inlineStr">
        <is>
          <t>NYU Stern</t>
        </is>
      </c>
      <c r="C68" s="90" t="inlineStr">
        <is>
          <t>Marketing</t>
        </is>
      </c>
      <c r="D68" s="90" t="n">
        <v>24</v>
      </c>
      <c r="E68" s="90" t="inlineStr">
        <is>
          <t>https://stern.nyu.edu/experience-stern/departments-centers-initiatives</t>
        </is>
      </c>
    </row>
    <row r="69" ht="15" customHeight="1" s="91">
      <c r="A69" s="90" t="inlineStr">
        <is>
          <t>NYU Stern|5</t>
        </is>
      </c>
      <c r="B69" s="90" t="inlineStr">
        <is>
          <t>NYU Stern</t>
        </is>
      </c>
      <c r="C69" s="90" t="inlineStr">
        <is>
          <t>Economics</t>
        </is>
      </c>
      <c r="D69" s="90" t="n">
        <v>20</v>
      </c>
      <c r="E69" s="90" t="inlineStr">
        <is>
          <t>https://stern.nyu.edu/experience-stern/departments-centers-initiatives</t>
        </is>
      </c>
    </row>
    <row r="70" ht="15" customHeight="1" s="91">
      <c r="A70" s="90" t="inlineStr">
        <is>
          <t>NYU Stern|6</t>
        </is>
      </c>
      <c r="B70" s="90" t="inlineStr">
        <is>
          <t>NYU Stern</t>
        </is>
      </c>
      <c r="C70" s="90" t="inlineStr">
        <is>
          <t>Accounting</t>
        </is>
      </c>
      <c r="D70" s="90" t="n">
        <v>16</v>
      </c>
      <c r="E70" s="90" t="inlineStr">
        <is>
          <t>https://stern.nyu.edu/experience-stern/departments-centers-initiatives</t>
        </is>
      </c>
    </row>
    <row r="71" ht="15" customHeight="1" s="91">
      <c r="A71" s="90" t="inlineStr">
        <is>
          <t>Dartmouth Tuck|1</t>
        </is>
      </c>
      <c r="B71" s="90" t="inlineStr">
        <is>
          <t>Dartmouth Tuck</t>
        </is>
      </c>
      <c r="C71" s="90" t="inlineStr">
        <is>
          <t>Marketing</t>
        </is>
      </c>
      <c r="D71" s="90" t="n">
        <v>10</v>
      </c>
      <c r="E71" s="90" t="inlineStr">
        <is>
          <t>https://tuck.dartmouth.edu/faculty/academic-groups/</t>
        </is>
      </c>
    </row>
    <row r="72" ht="15" customHeight="1" s="91">
      <c r="A72" s="90" t="inlineStr">
        <is>
          <t>Dartmouth Tuck|2</t>
        </is>
      </c>
      <c r="B72" s="90" t="inlineStr">
        <is>
          <t>Dartmouth Tuck</t>
        </is>
      </c>
      <c r="C72" s="90" t="inlineStr">
        <is>
          <t>Finance</t>
        </is>
      </c>
      <c r="D72" s="90" t="n">
        <v>9</v>
      </c>
      <c r="E72" s="90" t="inlineStr">
        <is>
          <t>https://tuck.dartmouth.edu/faculty/academic-groups/</t>
        </is>
      </c>
    </row>
    <row r="73" ht="15" customHeight="1" s="91">
      <c r="A73" s="90" t="inlineStr">
        <is>
          <t>Dartmouth Tuck|3</t>
        </is>
      </c>
      <c r="B73" s="90" t="inlineStr">
        <is>
          <t>Dartmouth Tuck</t>
        </is>
      </c>
      <c r="C73" s="90" t="inlineStr">
        <is>
          <t>Economics</t>
        </is>
      </c>
      <c r="D73" s="90" t="n">
        <v>8</v>
      </c>
      <c r="E73" s="90" t="inlineStr">
        <is>
          <t>https://tuck.dartmouth.edu/faculty/academic-groups/</t>
        </is>
      </c>
    </row>
    <row r="74" ht="15" customHeight="1" s="91">
      <c r="A74" s="90" t="inlineStr">
        <is>
          <t>Dartmouth Tuck|4</t>
        </is>
      </c>
      <c r="B74" s="90" t="inlineStr">
        <is>
          <t>Dartmouth Tuck</t>
        </is>
      </c>
      <c r="C74" s="90" t="inlineStr">
        <is>
          <t>Organizational Behavior</t>
        </is>
      </c>
      <c r="D74" s="90" t="n">
        <v>7</v>
      </c>
      <c r="E74" s="90" t="inlineStr">
        <is>
          <t>https://tuck.dartmouth.edu/faculty/academic-groups/</t>
        </is>
      </c>
    </row>
    <row r="75" ht="15" customHeight="1" s="91">
      <c r="A75" s="90" t="inlineStr">
        <is>
          <t>Dartmouth Tuck|5</t>
        </is>
      </c>
      <c r="B75" s="90" t="inlineStr">
        <is>
          <t>Dartmouth Tuck</t>
        </is>
      </c>
      <c r="C75" s="90" t="inlineStr">
        <is>
          <t>Accounting</t>
        </is>
      </c>
      <c r="D75" s="90" t="n">
        <v>6</v>
      </c>
      <c r="E75" s="90" t="inlineStr">
        <is>
          <t>https://tuck.dartmouth.edu/faculty/academic-groups/</t>
        </is>
      </c>
    </row>
    <row r="76" ht="15" customHeight="1" s="91">
      <c r="A76" s="90" t="inlineStr">
        <is>
          <t>Dartmouth Tuck|6</t>
        </is>
      </c>
      <c r="B76" s="90" t="inlineStr">
        <is>
          <t>Dartmouth Tuck</t>
        </is>
      </c>
      <c r="C76" s="90" t="inlineStr">
        <is>
          <t>Operations Management &amp; Management Science</t>
        </is>
      </c>
      <c r="D76" s="90" t="n">
        <v>5</v>
      </c>
      <c r="E76" s="90" t="inlineStr">
        <is>
          <t>https://www.tuck.dartmouth.edu/faculty/academic-groups/operations-management</t>
        </is>
      </c>
    </row>
    <row r="77" ht="15" customHeight="1" s="91">
      <c r="A77" s="90" t="inlineStr">
        <is>
          <t>Dartmouth Tuck|7</t>
        </is>
      </c>
      <c r="B77" s="90" t="inlineStr">
        <is>
          <t>Dartmouth Tuck</t>
        </is>
      </c>
      <c r="C77" s="90" t="inlineStr">
        <is>
          <t>Strategic Management</t>
        </is>
      </c>
      <c r="D77" s="90" t="n">
        <v>5</v>
      </c>
      <c r="E77" s="90" t="inlineStr">
        <is>
          <t>https://tuck.dartmouth.edu/faculty/academic-groups/</t>
        </is>
      </c>
    </row>
    <row r="78" ht="15" customHeight="1" s="91">
      <c r="A78" s="90" t="inlineStr">
        <is>
          <t>Yale SOM|1</t>
        </is>
      </c>
      <c r="B78" s="90" t="inlineStr">
        <is>
          <t>Yale SOM</t>
        </is>
      </c>
      <c r="C78" s="90" t="inlineStr">
        <is>
          <t>Economics</t>
        </is>
      </c>
      <c r="D78" s="90" t="n">
        <v>25</v>
      </c>
      <c r="E78" s="90" t="inlineStr">
        <is>
          <t>https://som.yale.edu/faculty-research/faculty-directory</t>
        </is>
      </c>
    </row>
    <row r="79" ht="15" customHeight="1" s="91">
      <c r="A79" s="90" t="inlineStr">
        <is>
          <t>Yale SOM|2</t>
        </is>
      </c>
      <c r="B79" s="90" t="inlineStr">
        <is>
          <t>Yale SOM</t>
        </is>
      </c>
      <c r="C79" s="90" t="inlineStr">
        <is>
          <t>Finance</t>
        </is>
      </c>
      <c r="D79" s="90" t="n">
        <v>24</v>
      </c>
      <c r="E79" s="90" t="inlineStr">
        <is>
          <t>https://som.yale.edu/faculty-research/faculty-directory</t>
        </is>
      </c>
    </row>
    <row r="80" ht="15" customHeight="1" s="91">
      <c r="A80" s="90" t="inlineStr">
        <is>
          <t>Yale SOM|3</t>
        </is>
      </c>
      <c r="B80" s="90" t="inlineStr">
        <is>
          <t>Yale SOM</t>
        </is>
      </c>
      <c r="C80" s="90" t="inlineStr">
        <is>
          <t>Marketing</t>
        </is>
      </c>
      <c r="D80" s="90" t="n">
        <v>17</v>
      </c>
      <c r="E80" s="90" t="inlineStr">
        <is>
          <t>https://som.yale.edu/faculty-research/faculty-directory</t>
        </is>
      </c>
    </row>
    <row r="81" ht="15" customHeight="1" s="91">
      <c r="A81" s="90" t="inlineStr">
        <is>
          <t>Yale SOM|4</t>
        </is>
      </c>
      <c r="B81" s="90" t="inlineStr">
        <is>
          <t>Yale SOM</t>
        </is>
      </c>
      <c r="C81" s="90" t="inlineStr">
        <is>
          <t>Organizational Behavior</t>
        </is>
      </c>
      <c r="D81" s="90" t="n">
        <v>13</v>
      </c>
      <c r="E81" s="90" t="inlineStr">
        <is>
          <t>https://som.yale.edu/faculty-research/faculty-directory</t>
        </is>
      </c>
    </row>
    <row r="82" ht="15" customHeight="1" s="91">
      <c r="A82" s="90" t="inlineStr">
        <is>
          <t>Yale SOM|5</t>
        </is>
      </c>
      <c r="B82" s="90" t="inlineStr">
        <is>
          <t>Yale SOM</t>
        </is>
      </c>
      <c r="C82" s="90" t="inlineStr">
        <is>
          <t>Operations</t>
        </is>
      </c>
      <c r="D82" s="90" t="n">
        <v>12</v>
      </c>
      <c r="E82" s="90" t="inlineStr">
        <is>
          <t>https://som.yale.edu/faculty-research/disciplines/operations</t>
        </is>
      </c>
    </row>
    <row r="83" ht="15" customHeight="1" s="91">
      <c r="A83" s="90" t="inlineStr">
        <is>
          <t>Yale SOM|6</t>
        </is>
      </c>
      <c r="B83" s="90" t="inlineStr">
        <is>
          <t>Yale SOM</t>
        </is>
      </c>
      <c r="C83" s="90" t="inlineStr">
        <is>
          <t>Accounting</t>
        </is>
      </c>
      <c r="D83" s="90" t="n">
        <v>12</v>
      </c>
      <c r="E83" s="90" t="inlineStr">
        <is>
          <t>https://som.yale.edu/faculty-research/faculty-directory</t>
        </is>
      </c>
    </row>
    <row r="84" ht="15" customHeight="1" s="91">
      <c r="A84" s="90" t="inlineStr">
        <is>
          <t>Yale SOM|7</t>
        </is>
      </c>
      <c r="B84" s="90" t="inlineStr">
        <is>
          <t>Yale SOM</t>
        </is>
      </c>
      <c r="C84" s="90" t="inlineStr">
        <is>
          <t>Entrepreneurship</t>
        </is>
      </c>
      <c r="D84" s="90" t="n">
        <v>7</v>
      </c>
      <c r="E84" s="90" t="inlineStr">
        <is>
          <t>https://som.yale.edu/centers/program-on-entrepreneurship/about/affiliated-faculty</t>
        </is>
      </c>
    </row>
    <row r="85" ht="15" customHeight="1" s="91">
      <c r="A85" s="90" t="inlineStr">
        <is>
          <t>Berkeley Haas|1</t>
        </is>
      </c>
      <c r="B85" s="90" t="inlineStr">
        <is>
          <t>Berkeley Haas</t>
        </is>
      </c>
      <c r="C85" s="90" t="inlineStr">
        <is>
          <t>Marketing</t>
        </is>
      </c>
      <c r="D85" s="90" t="n">
        <v>13</v>
      </c>
      <c r="E85" s="90" t="inlineStr">
        <is>
          <t>https://haas.berkeley.edu/academic-area/</t>
        </is>
      </c>
    </row>
    <row r="86" ht="15" customHeight="1" s="91">
      <c r="A86" s="90" t="inlineStr">
        <is>
          <t>Berkeley Haas|2</t>
        </is>
      </c>
      <c r="B86" s="90" t="inlineStr">
        <is>
          <t>Berkeley Haas</t>
        </is>
      </c>
      <c r="C86" s="90" t="inlineStr">
        <is>
          <t>Real Estate</t>
        </is>
      </c>
      <c r="D86" s="90" t="n">
        <v>13</v>
      </c>
      <c r="E86" s="90" t="inlineStr">
        <is>
          <t>https://haas.berkeley.edu/academic-area/</t>
        </is>
      </c>
    </row>
    <row r="87" ht="15" customHeight="1" s="91">
      <c r="A87" s="90" t="inlineStr">
        <is>
          <t>Berkeley Haas|3</t>
        </is>
      </c>
      <c r="B87" s="90" t="inlineStr">
        <is>
          <t>Berkeley Haas</t>
        </is>
      </c>
      <c r="C87" s="90" t="inlineStr">
        <is>
          <t>Finance</t>
        </is>
      </c>
      <c r="D87" s="90" t="n">
        <v>12</v>
      </c>
      <c r="E87" s="90" t="inlineStr">
        <is>
          <t>https://haas.berkeley.edu/academic-area/</t>
        </is>
      </c>
    </row>
    <row r="88" ht="15" customHeight="1" s="91">
      <c r="A88" s="90" t="inlineStr">
        <is>
          <t>Berkeley Haas|4</t>
        </is>
      </c>
      <c r="B88" s="90" t="inlineStr">
        <is>
          <t>Berkeley Haas</t>
        </is>
      </c>
      <c r="C88" s="90" t="inlineStr">
        <is>
          <t>Business &amp; Public Policy</t>
        </is>
      </c>
      <c r="D88" s="90" t="n">
        <v>12</v>
      </c>
      <c r="E88" s="90" t="inlineStr">
        <is>
          <t>https://haas.berkeley.edu/academic-area/</t>
        </is>
      </c>
    </row>
    <row r="89" ht="15" customHeight="1" s="91">
      <c r="A89" s="90" t="inlineStr">
        <is>
          <t>Berkeley Haas|5</t>
        </is>
      </c>
      <c r="B89" s="90" t="inlineStr">
        <is>
          <t>Berkeley Haas</t>
        </is>
      </c>
      <c r="C89" s="90" t="inlineStr">
        <is>
          <t>Management of Organizations</t>
        </is>
      </c>
      <c r="D89" s="90" t="n">
        <v>11</v>
      </c>
      <c r="E89" s="90" t="inlineStr">
        <is>
          <t>https://haas.berkeley.edu/academic-area/</t>
        </is>
      </c>
    </row>
    <row r="90" ht="15" customHeight="1" s="91">
      <c r="A90" s="90" t="inlineStr">
        <is>
          <t>Berkeley Haas|6</t>
        </is>
      </c>
      <c r="B90" s="90" t="inlineStr">
        <is>
          <t>Berkeley Haas</t>
        </is>
      </c>
      <c r="C90" s="90" t="inlineStr">
        <is>
          <t>Accounting</t>
        </is>
      </c>
      <c r="D90" s="90" t="n">
        <v>9</v>
      </c>
      <c r="E90" s="90" t="inlineStr">
        <is>
          <t>https://haas.berkeley.edu/academic-area/</t>
        </is>
      </c>
    </row>
    <row r="91" ht="15" customHeight="1" s="91">
      <c r="A91" s="90" t="inlineStr">
        <is>
          <t>UVA Darden|1</t>
        </is>
      </c>
      <c r="B91" s="90" t="inlineStr">
        <is>
          <t>UVA Darden</t>
        </is>
      </c>
      <c r="C91" s="90" t="inlineStr">
        <is>
          <t>Strategy, Ethics &amp; Entrepreneurship</t>
        </is>
      </c>
      <c r="D91" s="90" t="n">
        <v>16</v>
      </c>
      <c r="E91" s="90" t="inlineStr">
        <is>
          <t>https://darden.virginia.edu/faculty-research/academic-areas</t>
        </is>
      </c>
    </row>
    <row r="92" ht="15" customHeight="1" s="91">
      <c r="A92" s="90" t="inlineStr">
        <is>
          <t>UVA Darden|2</t>
        </is>
      </c>
      <c r="B92" s="90" t="inlineStr">
        <is>
          <t>UVA Darden</t>
        </is>
      </c>
      <c r="C92" s="90" t="inlineStr">
        <is>
          <t>Leadership &amp; Organizational Behavior</t>
        </is>
      </c>
      <c r="D92" s="90" t="n">
        <v>11</v>
      </c>
      <c r="E92" s="90" t="inlineStr">
        <is>
          <t>https://darden.virginia.edu/faculty-research/academic-areas</t>
        </is>
      </c>
    </row>
    <row r="93" ht="15" customHeight="1" s="91">
      <c r="A93" s="90" t="inlineStr">
        <is>
          <t>UVA Darden|3</t>
        </is>
      </c>
      <c r="B93" s="90" t="inlineStr">
        <is>
          <t>UVA Darden</t>
        </is>
      </c>
      <c r="C93" s="90" t="inlineStr">
        <is>
          <t>Data Analytics and Decision Sciences (DADS)</t>
        </is>
      </c>
      <c r="D93" s="90" t="n">
        <v>10</v>
      </c>
      <c r="E93" s="90" t="inlineStr">
        <is>
          <t>https://www.darden.virginia.edu/faculty-research/academic-areas/data-analytics-decision-sciences</t>
        </is>
      </c>
    </row>
    <row r="94" ht="15" customHeight="1" s="91">
      <c r="A94" s="90" t="inlineStr">
        <is>
          <t>UVA Darden|4</t>
        </is>
      </c>
      <c r="B94" s="90" t="inlineStr">
        <is>
          <t>UVA Darden</t>
        </is>
      </c>
      <c r="C94" s="90" t="inlineStr">
        <is>
          <t>Data Analytics &amp; Decision Sciences (DADS)</t>
        </is>
      </c>
      <c r="D94" s="90" t="n">
        <v>10</v>
      </c>
      <c r="E94" s="90" t="inlineStr">
        <is>
          <t>https://www.darden.virginia.edu/faculty-research/academic-areas/data-analytics-decision-sciences</t>
        </is>
      </c>
    </row>
    <row r="95" ht="15" customHeight="1" s="91">
      <c r="A95" s="90" t="inlineStr">
        <is>
          <t>UVA Darden|5</t>
        </is>
      </c>
      <c r="B95" s="90" t="inlineStr">
        <is>
          <t>UVA Darden</t>
        </is>
      </c>
      <c r="C95" s="90" t="inlineStr">
        <is>
          <t>Global Economies &amp; Markets</t>
        </is>
      </c>
      <c r="D95" s="90" t="n">
        <v>9</v>
      </c>
      <c r="E95" s="90" t="inlineStr">
        <is>
          <t>https://darden.virginia.edu/faculty-research/academic-areas</t>
        </is>
      </c>
    </row>
    <row r="96" ht="15" customHeight="1" s="91">
      <c r="A96" s="90" t="inlineStr">
        <is>
          <t>UVA Darden|6</t>
        </is>
      </c>
      <c r="B96" s="90" t="inlineStr">
        <is>
          <t>UVA Darden</t>
        </is>
      </c>
      <c r="C96" s="90" t="inlineStr">
        <is>
          <t>Accounting</t>
        </is>
      </c>
      <c r="D96" s="90" t="n">
        <v>7</v>
      </c>
      <c r="E96" s="90" t="inlineStr">
        <is>
          <t>https://darden.virginia.edu/faculty-research/academic-areas</t>
        </is>
      </c>
    </row>
    <row r="97" ht="15" customHeight="1" s="91">
      <c r="A97" s="90" t="inlineStr">
        <is>
          <t>UVA Darden|7</t>
        </is>
      </c>
      <c r="B97" s="90" t="inlineStr">
        <is>
          <t>UVA Darden</t>
        </is>
      </c>
      <c r="C97" s="90" t="inlineStr">
        <is>
          <t>Technology and Operations Management</t>
        </is>
      </c>
      <c r="D97" s="90" t="n">
        <v>6</v>
      </c>
      <c r="E97" s="90" t="inlineStr">
        <is>
          <t>https://www.darden.virginia.edu/faculty-research/academic-areas/technology-operations-management</t>
        </is>
      </c>
    </row>
    <row r="98" ht="15" customHeight="1" s="91">
      <c r="A98" s="90" t="inlineStr">
        <is>
          <t>Michigan Ross|1</t>
        </is>
      </c>
      <c r="B98" s="90" t="inlineStr">
        <is>
          <t>Michigan Ross</t>
        </is>
      </c>
      <c r="C98" s="90" t="inlineStr">
        <is>
          <t>Technology and Operations</t>
        </is>
      </c>
      <c r="D98" s="90" t="n">
        <v>21</v>
      </c>
      <c r="E98" s="90" t="inlineStr">
        <is>
          <t>https://michiganross.umich.edu/faculty-research/areas-of-study/technology-operations</t>
        </is>
      </c>
    </row>
    <row r="99" ht="15" customHeight="1" s="91">
      <c r="A99" s="90" t="inlineStr">
        <is>
          <t>Michigan Ross|2</t>
        </is>
      </c>
      <c r="B99" s="90" t="inlineStr">
        <is>
          <t>Michigan Ross</t>
        </is>
      </c>
      <c r="C99" s="90" t="inlineStr">
        <is>
          <t>Management &amp; Organizations</t>
        </is>
      </c>
      <c r="D99" s="90" t="n">
        <v>20</v>
      </c>
      <c r="E99" s="90" t="inlineStr">
        <is>
          <t>https://michiganross.umich.edu/faculty-research/areas-of-study</t>
        </is>
      </c>
    </row>
    <row r="100" ht="15" customHeight="1" s="91">
      <c r="A100" s="90" t="inlineStr">
        <is>
          <t>Michigan Ross|3</t>
        </is>
      </c>
      <c r="B100" s="90" t="inlineStr">
        <is>
          <t>Michigan Ross</t>
        </is>
      </c>
      <c r="C100" s="90" t="inlineStr">
        <is>
          <t>Marketing</t>
        </is>
      </c>
      <c r="D100" s="90" t="n">
        <v>13</v>
      </c>
      <c r="E100" s="90" t="inlineStr">
        <is>
          <t>https://michiganross.umich.edu/faculty-research/areas-of-study</t>
        </is>
      </c>
    </row>
    <row r="101" ht="15" customHeight="1" s="91">
      <c r="A101" s="90" t="inlineStr">
        <is>
          <t>Michigan Ross|4</t>
        </is>
      </c>
      <c r="B101" s="90" t="inlineStr">
        <is>
          <t>Michigan Ross</t>
        </is>
      </c>
      <c r="C101" s="90" t="inlineStr">
        <is>
          <t>Finance</t>
        </is>
      </c>
      <c r="D101" s="90" t="n">
        <v>11</v>
      </c>
      <c r="E101" s="90" t="inlineStr">
        <is>
          <t>https://michiganross.umich.edu/faculty-research/areas-of-study</t>
        </is>
      </c>
    </row>
    <row r="102" ht="15" customHeight="1" s="91">
      <c r="A102" s="90" t="inlineStr">
        <is>
          <t>Michigan Ross|5</t>
        </is>
      </c>
      <c r="B102" s="90" t="inlineStr">
        <is>
          <t>Michigan Ross</t>
        </is>
      </c>
      <c r="C102" s="90" t="inlineStr">
        <is>
          <t>Strategy</t>
        </is>
      </c>
      <c r="D102" s="90" t="n">
        <v>11</v>
      </c>
      <c r="E102" s="90" t="inlineStr">
        <is>
          <t>https://michiganross.umich.edu/faculty-research/areas-of-study</t>
        </is>
      </c>
    </row>
    <row r="103" ht="15" customHeight="1" s="91">
      <c r="A103" s="90" t="inlineStr">
        <is>
          <t>Michigan Ross|6</t>
        </is>
      </c>
      <c r="B103" s="90" t="inlineStr">
        <is>
          <t>Michigan Ross</t>
        </is>
      </c>
      <c r="C103" s="90" t="inlineStr">
        <is>
          <t>Business Economics &amp; Public Policy</t>
        </is>
      </c>
      <c r="D103" s="90" t="n">
        <v>10</v>
      </c>
      <c r="E103" s="90" t="inlineStr">
        <is>
          <t>https://michiganross.umich.edu/faculty-research/areas-of-study</t>
        </is>
      </c>
    </row>
    <row r="104" ht="15" customHeight="1" s="91">
      <c r="A104" s="90" t="inlineStr">
        <is>
          <t>Michigan Ross|7</t>
        </is>
      </c>
      <c r="B104" s="90" t="inlineStr">
        <is>
          <t>Michigan Ross</t>
        </is>
      </c>
      <c r="C104" s="90" t="inlineStr">
        <is>
          <t>Accounting</t>
        </is>
      </c>
      <c r="D104" s="90" t="n">
        <v>9</v>
      </c>
      <c r="E104" s="90" t="inlineStr">
        <is>
          <t>https://michiganross.umich.edu/faculty-research/areas-of-study</t>
        </is>
      </c>
    </row>
    <row r="105" ht="15" customHeight="1" s="91">
      <c r="A105" s="90" t="inlineStr">
        <is>
          <t>Duke Fuqua|1</t>
        </is>
      </c>
      <c r="B105" s="90" t="inlineStr">
        <is>
          <t>Duke Fuqua</t>
        </is>
      </c>
      <c r="C105" s="90" t="inlineStr">
        <is>
          <t>Finance</t>
        </is>
      </c>
      <c r="D105" s="90" t="n">
        <v>22</v>
      </c>
      <c r="E105" s="90" t="inlineStr">
        <is>
          <t>https://fuqua.duke.edu/faculty-research/academic-areas</t>
        </is>
      </c>
    </row>
    <row r="106" ht="15" customHeight="1" s="91">
      <c r="A106" s="90" t="inlineStr">
        <is>
          <t>Duke Fuqua|2</t>
        </is>
      </c>
      <c r="B106" s="90" t="inlineStr">
        <is>
          <t>Duke Fuqua</t>
        </is>
      </c>
      <c r="C106" s="90" t="inlineStr">
        <is>
          <t>Marketing</t>
        </is>
      </c>
      <c r="D106" s="90" t="n">
        <v>16</v>
      </c>
      <c r="E106" s="90" t="inlineStr">
        <is>
          <t>https://fuqua.duke.edu/faculty-research/academic-areas</t>
        </is>
      </c>
    </row>
    <row r="107" ht="15" customHeight="1" s="91">
      <c r="A107" s="90" t="inlineStr">
        <is>
          <t>Duke Fuqua|3</t>
        </is>
      </c>
      <c r="B107" s="90" t="inlineStr">
        <is>
          <t>Duke Fuqua</t>
        </is>
      </c>
      <c r="C107" s="90" t="inlineStr">
        <is>
          <t>Accounting</t>
        </is>
      </c>
      <c r="D107" s="90" t="n">
        <v>13</v>
      </c>
      <c r="E107" s="90" t="inlineStr">
        <is>
          <t>https://fuqua.duke.edu/faculty-research/academic-areas</t>
        </is>
      </c>
    </row>
    <row r="108" ht="15" customHeight="1" s="91">
      <c r="A108" s="90" t="inlineStr">
        <is>
          <t>Duke Fuqua|4</t>
        </is>
      </c>
      <c r="B108" s="90" t="inlineStr">
        <is>
          <t>Duke Fuqua</t>
        </is>
      </c>
      <c r="C108" s="90" t="inlineStr">
        <is>
          <t>Decision Sciences</t>
        </is>
      </c>
      <c r="D108" s="90" t="n">
        <v>13</v>
      </c>
      <c r="E108" s="90" t="inlineStr">
        <is>
          <t>https://areas.fuqua.duke.edu/decision-sciences/</t>
        </is>
      </c>
    </row>
    <row r="109" ht="15" customHeight="1" s="91">
      <c r="A109" s="90" t="inlineStr">
        <is>
          <t>Duke Fuqua|5</t>
        </is>
      </c>
      <c r="B109" s="90" t="inlineStr">
        <is>
          <t>Duke Fuqua</t>
        </is>
      </c>
      <c r="C109" s="90" t="inlineStr">
        <is>
          <t>Strategy</t>
        </is>
      </c>
      <c r="D109" s="90" t="n">
        <v>12</v>
      </c>
      <c r="E109" s="90" t="inlineStr">
        <is>
          <t>https://fuqua.duke.edu/faculty-research/academic-areas</t>
        </is>
      </c>
    </row>
    <row r="110" ht="15" customHeight="1" s="91">
      <c r="A110" s="90" t="inlineStr">
        <is>
          <t>Duke Fuqua|6</t>
        </is>
      </c>
      <c r="B110" s="90" t="inlineStr">
        <is>
          <t>Duke Fuqua</t>
        </is>
      </c>
      <c r="C110" s="90" t="inlineStr">
        <is>
          <t>Economics</t>
        </is>
      </c>
      <c r="D110" s="90" t="n">
        <v>8</v>
      </c>
      <c r="E110" s="90" t="inlineStr">
        <is>
          <t>https://fuqua.duke.edu/faculty-research/academic-areas</t>
        </is>
      </c>
    </row>
    <row r="111" ht="15" customHeight="1" s="91">
      <c r="A111" s="90" t="inlineStr">
        <is>
          <t>Duke Fuqua|7</t>
        </is>
      </c>
      <c r="B111" s="90" t="inlineStr">
        <is>
          <t>Duke Fuqua</t>
        </is>
      </c>
      <c r="C111" s="90" t="inlineStr">
        <is>
          <t>Management</t>
        </is>
      </c>
      <c r="D111" s="90" t="n">
        <v>6</v>
      </c>
      <c r="E111" s="90" t="inlineStr">
        <is>
          <t>https://fuqua.duke.edu/faculty-research/academic-areas</t>
        </is>
      </c>
    </row>
    <row r="112" ht="15" customHeight="1" s="91">
      <c r="A112" s="90" t="inlineStr">
        <is>
          <t>Duke Fuqua|8</t>
        </is>
      </c>
      <c r="B112" s="90" t="inlineStr">
        <is>
          <t>Duke Fuqua</t>
        </is>
      </c>
      <c r="C112" s="90" t="inlineStr">
        <is>
          <t>Operations Management</t>
        </is>
      </c>
      <c r="D112" s="90" t="n">
        <v>6</v>
      </c>
      <c r="E112" s="90" t="inlineStr">
        <is>
          <t>https://areas.fuqua.duke.edu/operations-management/</t>
        </is>
      </c>
    </row>
    <row r="113" ht="15" customHeight="1" s="91">
      <c r="A113" s="90" t="inlineStr">
        <is>
          <t>Cornell Johnson|1</t>
        </is>
      </c>
      <c r="B113" s="90" t="inlineStr">
        <is>
          <t>Cornell Johnson</t>
        </is>
      </c>
      <c r="C113" s="90" t="inlineStr">
        <is>
          <t>Management &amp; Organizations</t>
        </is>
      </c>
      <c r="D113" s="90" t="n">
        <v>27</v>
      </c>
      <c r="E113" s="90" t="inlineStr">
        <is>
          <t>https://business.cornell.edu/faculty-research/areas/</t>
        </is>
      </c>
    </row>
    <row r="114" ht="15" customHeight="1" s="91">
      <c r="A114" s="90" t="inlineStr">
        <is>
          <t>Cornell Johnson|2</t>
        </is>
      </c>
      <c r="B114" s="90" t="inlineStr">
        <is>
          <t>Cornell Johnson</t>
        </is>
      </c>
      <c r="C114" s="90" t="inlineStr">
        <is>
          <t>Strategy &amp; Business Economics</t>
        </is>
      </c>
      <c r="D114" s="90" t="n">
        <v>25</v>
      </c>
      <c r="E114" s="90" t="inlineStr">
        <is>
          <t>https://business.cornell.edu/faculty-research/areas/</t>
        </is>
      </c>
    </row>
    <row r="115" ht="15" customHeight="1" s="91">
      <c r="A115" s="90" t="inlineStr">
        <is>
          <t>Cornell Johnson|3</t>
        </is>
      </c>
      <c r="B115" s="90" t="inlineStr">
        <is>
          <t>Cornell Johnson</t>
        </is>
      </c>
      <c r="C115" s="90" t="inlineStr">
        <is>
          <t>Applied Economics &amp; Policy</t>
        </is>
      </c>
      <c r="D115" s="90" t="n">
        <v>25</v>
      </c>
      <c r="E115" s="90" t="inlineStr">
        <is>
          <t>https://business.cornell.edu/faculty-research/areas/</t>
        </is>
      </c>
    </row>
    <row r="116" ht="15" customHeight="1" s="91">
      <c r="A116" s="90" t="inlineStr">
        <is>
          <t>Cornell Johnson|4</t>
        </is>
      </c>
      <c r="B116" s="90" t="inlineStr">
        <is>
          <t>Cornell Johnson</t>
        </is>
      </c>
      <c r="C116" s="90" t="inlineStr">
        <is>
          <t>Finance</t>
        </is>
      </c>
      <c r="D116" s="90" t="n">
        <v>24</v>
      </c>
      <c r="E116" s="90" t="inlineStr">
        <is>
          <t>https://business.cornell.edu/faculty-research/areas/</t>
        </is>
      </c>
    </row>
    <row r="117" ht="15" customHeight="1" s="91">
      <c r="A117" s="90" t="inlineStr">
        <is>
          <t>Cornell Johnson|5</t>
        </is>
      </c>
      <c r="B117" s="90" t="inlineStr">
        <is>
          <t>Cornell Johnson</t>
        </is>
      </c>
      <c r="C117" s="90" t="inlineStr">
        <is>
          <t>Marketing</t>
        </is>
      </c>
      <c r="D117" s="90" t="n">
        <v>22</v>
      </c>
      <c r="E117" s="90" t="inlineStr">
        <is>
          <t>https://business.cornell.edu/faculty-research/areas/</t>
        </is>
      </c>
    </row>
    <row r="118" ht="15" customHeight="1" s="91">
      <c r="A118" s="90" t="inlineStr">
        <is>
          <t>Cornell Johnson|6</t>
        </is>
      </c>
      <c r="B118" s="90" t="inlineStr">
        <is>
          <t>Cornell Johnson</t>
        </is>
      </c>
      <c r="C118" s="90" t="inlineStr">
        <is>
          <t>Accounting</t>
        </is>
      </c>
      <c r="D118" s="90" t="n">
        <v>14</v>
      </c>
      <c r="E118" s="90" t="inlineStr">
        <is>
          <t>https://business.cornell.edu/faculty-research/areas/</t>
        </is>
      </c>
    </row>
    <row r="119" ht="15" customHeight="1" s="91">
      <c r="A119" s="90" t="inlineStr">
        <is>
          <t>Cornell Johnson|7</t>
        </is>
      </c>
      <c r="B119" s="90" t="inlineStr">
        <is>
          <t>Cornell Johnson</t>
        </is>
      </c>
      <c r="C119" s="90" t="inlineStr">
        <is>
          <t>Operations, Technology, and Information Management (OTIM)</t>
        </is>
      </c>
      <c r="D119" s="90" t="n">
        <v>14</v>
      </c>
      <c r="E119" s="90" t="inlineStr">
        <is>
          <t>https://business.cornell.edu/faculty-research/areas/operations-technology-and-information-management/</t>
        </is>
      </c>
    </row>
    <row r="120" ht="15" customHeight="1" s="91">
      <c r="A120" s="90" t="inlineStr">
        <is>
          <t>UT McCombs|1</t>
        </is>
      </c>
      <c r="B120" s="90" t="inlineStr">
        <is>
          <t>UT McCombs</t>
        </is>
      </c>
      <c r="C120" s="90" t="inlineStr">
        <is>
          <t>Information, Risk, and Operations Management (IROM)</t>
        </is>
      </c>
      <c r="D120" s="90" t="n">
        <v>37</v>
      </c>
      <c r="E120" s="90" t="inlineStr">
        <is>
          <t>https://www.mccombs.utexas.edu/faculty-research/departments/irom/</t>
        </is>
      </c>
    </row>
    <row r="121" ht="15" customHeight="1" s="91">
      <c r="A121" s="90" t="inlineStr">
        <is>
          <t>UT McCombs|2</t>
        </is>
      </c>
      <c r="B121" s="90" t="inlineStr">
        <is>
          <t>UT McCombs</t>
        </is>
      </c>
      <c r="C121" s="90" t="inlineStr">
        <is>
          <t>Finance</t>
        </is>
      </c>
      <c r="D121" s="90" t="n">
        <v>30</v>
      </c>
      <c r="E121" s="90" t="inlineStr">
        <is>
          <t>https://mccombs.utexas.edu/faculty-research/departments/</t>
        </is>
      </c>
    </row>
    <row r="122" ht="15" customHeight="1" s="91">
      <c r="A122" s="90" t="inlineStr">
        <is>
          <t>UT McCombs|3</t>
        </is>
      </c>
      <c r="B122" s="90" t="inlineStr">
        <is>
          <t>UT McCombs</t>
        </is>
      </c>
      <c r="C122" s="90" t="inlineStr">
        <is>
          <t>Management</t>
        </is>
      </c>
      <c r="D122" s="90" t="n">
        <v>25</v>
      </c>
      <c r="E122" s="90" t="inlineStr">
        <is>
          <t>https://mccombs.utexas.edu/faculty-research/departments/</t>
        </is>
      </c>
    </row>
    <row r="123" ht="15" customHeight="1" s="91">
      <c r="A123" s="90" t="inlineStr">
        <is>
          <t>UT McCombs|4</t>
        </is>
      </c>
      <c r="B123" s="90" t="inlineStr">
        <is>
          <t>UT McCombs</t>
        </is>
      </c>
      <c r="C123" s="90" t="inlineStr">
        <is>
          <t>Accounting</t>
        </is>
      </c>
      <c r="D123" s="90" t="n">
        <v>23</v>
      </c>
      <c r="E123" s="90" t="inlineStr">
        <is>
          <t>https://mccombs.utexas.edu/faculty-research/departments/</t>
        </is>
      </c>
    </row>
    <row r="124" ht="15" customHeight="1" s="91">
      <c r="A124" s="90" t="inlineStr">
        <is>
          <t>UT McCombs|5</t>
        </is>
      </c>
      <c r="B124" s="90" t="inlineStr">
        <is>
          <t>UT McCombs</t>
        </is>
      </c>
      <c r="C124" s="90" t="inlineStr">
        <is>
          <t>Marketing</t>
        </is>
      </c>
      <c r="D124" s="90" t="n">
        <v>22</v>
      </c>
      <c r="E124" s="90" t="inlineStr">
        <is>
          <t>https://mccombs.utexas.edu/faculty-research/departments/</t>
        </is>
      </c>
    </row>
    <row r="125" ht="15" customHeight="1" s="91">
      <c r="A125" s="90" t="inlineStr">
        <is>
          <t>UT McCombs|6</t>
        </is>
      </c>
      <c r="B125" s="90" t="inlineStr">
        <is>
          <t>UT McCombs</t>
        </is>
      </c>
      <c r="C125" s="90" t="inlineStr">
        <is>
          <t>Business, Government &amp; Society</t>
        </is>
      </c>
      <c r="D125" s="90" t="n">
        <v>11</v>
      </c>
      <c r="E125" s="90" t="inlineStr">
        <is>
          <t>https://mccombs.utexas.edu/faculty-research/departments/</t>
        </is>
      </c>
    </row>
    <row r="126" ht="15" customHeight="1" s="91">
      <c r="A126" s="90" t="inlineStr">
        <is>
          <t>Emory Goizueta|1</t>
        </is>
      </c>
      <c r="B126" s="90" t="inlineStr">
        <is>
          <t>Emory Goizueta</t>
        </is>
      </c>
      <c r="C126" s="90" t="inlineStr">
        <is>
          <t>Information Systems &amp; Operations Management (ISOM)</t>
        </is>
      </c>
      <c r="D126" s="90" t="n">
        <v>22</v>
      </c>
      <c r="E126" s="90" t="inlineStr">
        <is>
          <t>https://goizueta.emory.edu/faculty/isom</t>
        </is>
      </c>
    </row>
    <row r="127" ht="15" customHeight="1" s="91">
      <c r="A127" s="90" t="inlineStr">
        <is>
          <t>Emory Goizueta|2</t>
        </is>
      </c>
      <c r="B127" s="90" t="inlineStr">
        <is>
          <t>Emory Goizueta</t>
        </is>
      </c>
      <c r="C127" s="90" t="inlineStr">
        <is>
          <t>Finance</t>
        </is>
      </c>
      <c r="D127" s="90" t="n">
        <v>12</v>
      </c>
      <c r="E127" s="90" t="inlineStr">
        <is>
          <t>https://goizueta.emory.edu/faculty/finance</t>
        </is>
      </c>
    </row>
    <row r="128" ht="15" customHeight="1" s="91">
      <c r="A128" s="90" t="inlineStr">
        <is>
          <t>Emory Goizueta|3</t>
        </is>
      </c>
      <c r="B128" s="90" t="inlineStr">
        <is>
          <t>Emory Goizueta</t>
        </is>
      </c>
      <c r="C128" s="90" t="inlineStr">
        <is>
          <t>Organization &amp; Management</t>
        </is>
      </c>
      <c r="D128" s="90" t="n">
        <v>11</v>
      </c>
      <c r="E128" s="90" t="inlineStr">
        <is>
          <t>https://goizueta.emory.edu/faculty/organization-management</t>
        </is>
      </c>
    </row>
    <row r="129" ht="15" customHeight="1" s="91">
      <c r="A129" s="90" t="inlineStr">
        <is>
          <t>Emory Goizueta|4</t>
        </is>
      </c>
      <c r="B129" s="90" t="inlineStr">
        <is>
          <t>Emory Goizueta</t>
        </is>
      </c>
      <c r="C129" s="90" t="inlineStr">
        <is>
          <t>Accounting</t>
        </is>
      </c>
      <c r="D129" s="90" t="n">
        <v>10</v>
      </c>
      <c r="E129" s="90" t="inlineStr">
        <is>
          <t>https://goizueta.emory.edu/faculty/accounting</t>
        </is>
      </c>
    </row>
    <row r="130" ht="15" customHeight="1" s="91">
      <c r="A130" s="90" t="inlineStr">
        <is>
          <t>Emory Goizueta|5</t>
        </is>
      </c>
      <c r="B130" s="90" t="inlineStr">
        <is>
          <t>Emory Goizueta</t>
        </is>
      </c>
      <c r="C130" s="90" t="inlineStr">
        <is>
          <t>Marketing</t>
        </is>
      </c>
      <c r="D130" s="90" t="n">
        <v>10</v>
      </c>
      <c r="E130" s="90" t="inlineStr">
        <is>
          <t>https://goizueta.emory.edu/faculty/marketing</t>
        </is>
      </c>
    </row>
    <row r="131" ht="15" customHeight="1" s="91">
      <c r="A131" s="90" t="inlineStr">
        <is>
          <t>CMU Tepper|1</t>
        </is>
      </c>
      <c r="B131" s="90" t="inlineStr">
        <is>
          <t>CMU Tepper</t>
        </is>
      </c>
      <c r="C131" s="90" t="inlineStr">
        <is>
          <t>Economics</t>
        </is>
      </c>
      <c r="D131" s="90" t="n">
        <v>21</v>
      </c>
      <c r="E131" s="90" t="inlineStr">
        <is>
          <t>https://cmu.edu/tepper/faculty-and-research/academic-areas</t>
        </is>
      </c>
    </row>
    <row r="132" ht="15" customHeight="1" s="91">
      <c r="A132" s="90" t="inlineStr">
        <is>
          <t>CMU Tepper|2</t>
        </is>
      </c>
      <c r="B132" s="90" t="inlineStr">
        <is>
          <t>CMU Tepper</t>
        </is>
      </c>
      <c r="C132" s="90" t="inlineStr">
        <is>
          <t>Finance</t>
        </is>
      </c>
      <c r="D132" s="90" t="n">
        <v>12</v>
      </c>
      <c r="E132" s="90" t="inlineStr">
        <is>
          <t>https://cmu.edu/tepper/faculty-and-research/academic-areas</t>
        </is>
      </c>
    </row>
    <row r="133" ht="15" customHeight="1" s="91">
      <c r="A133" s="90" t="inlineStr">
        <is>
          <t>CMU Tepper|3</t>
        </is>
      </c>
      <c r="B133" s="90" t="inlineStr">
        <is>
          <t>CMU Tepper</t>
        </is>
      </c>
      <c r="C133" s="90" t="inlineStr">
        <is>
          <t>Operations Management</t>
        </is>
      </c>
      <c r="D133" s="90" t="n">
        <v>10</v>
      </c>
      <c r="E133" s="90" t="inlineStr">
        <is>
          <t>https://www.cmu.edu/tepper/faculty-and-research/academic-areas/operations-management/</t>
        </is>
      </c>
    </row>
    <row r="134" ht="15" customHeight="1" s="91">
      <c r="A134" s="90" t="inlineStr">
        <is>
          <t>CMU Tepper|4</t>
        </is>
      </c>
      <c r="B134" s="90" t="inlineStr">
        <is>
          <t>CMU Tepper</t>
        </is>
      </c>
      <c r="C134" s="90" t="inlineStr">
        <is>
          <t>Operations Research</t>
        </is>
      </c>
      <c r="D134" s="90" t="n">
        <v>10</v>
      </c>
      <c r="E134" s="90" t="inlineStr">
        <is>
          <t>https://www.cmu.edu/tepper/faculty-and-research/academic-areas/operations-research/</t>
        </is>
      </c>
    </row>
    <row r="135" ht="15" customHeight="1" s="91">
      <c r="A135" s="90" t="inlineStr">
        <is>
          <t>CMU Tepper|5</t>
        </is>
      </c>
      <c r="B135" s="90" t="inlineStr">
        <is>
          <t>CMU Tepper</t>
        </is>
      </c>
      <c r="C135" s="90" t="inlineStr">
        <is>
          <t>Marketing</t>
        </is>
      </c>
      <c r="D135" s="90" t="n">
        <v>8</v>
      </c>
      <c r="E135" s="90" t="inlineStr">
        <is>
          <t>https://cmu.edu/tepper/faculty-and-research/academic-areas</t>
        </is>
      </c>
    </row>
    <row r="136" ht="15" customHeight="1" s="91">
      <c r="A136" s="90" t="inlineStr">
        <is>
          <t>CMU Tepper|6</t>
        </is>
      </c>
      <c r="B136" s="90" t="inlineStr">
        <is>
          <t>CMU Tepper</t>
        </is>
      </c>
      <c r="C136" s="90" t="inlineStr">
        <is>
          <t>Organizational Behavior &amp; Theory</t>
        </is>
      </c>
      <c r="D136" s="90" t="n">
        <v>6</v>
      </c>
      <c r="E136" s="90" t="inlineStr">
        <is>
          <t>https://cmu.edu/tepper/faculty-and-research/academic-areas</t>
        </is>
      </c>
    </row>
    <row r="137" ht="15" customHeight="1" s="91">
      <c r="A137" s="90" t="inlineStr">
        <is>
          <t>CMU Tepper|7</t>
        </is>
      </c>
      <c r="B137" s="90" t="inlineStr">
        <is>
          <t>CMU Tepper</t>
        </is>
      </c>
      <c r="C137" s="90" t="inlineStr">
        <is>
          <t>Accounting</t>
        </is>
      </c>
      <c r="D137" s="90" t="n">
        <v>5</v>
      </c>
      <c r="E137" s="90" t="inlineStr">
        <is>
          <t>https://cmu.edu/tepper/faculty-and-research/academic-areas</t>
        </is>
      </c>
    </row>
    <row r="138" ht="15" customHeight="1" s="91">
      <c r="A138" s="90" t="inlineStr">
        <is>
          <t>UCLA Anderson|1</t>
        </is>
      </c>
      <c r="B138" s="90" t="inlineStr">
        <is>
          <t>UCLA Anderson</t>
        </is>
      </c>
      <c r="C138" s="90" t="inlineStr">
        <is>
          <t>Marketing</t>
        </is>
      </c>
      <c r="D138" s="90" t="n">
        <v>14</v>
      </c>
      <c r="E138" s="90" t="inlineStr">
        <is>
          <t>https://anderson.ucla.edu/degrees/phd-program/areas-of-study</t>
        </is>
      </c>
    </row>
    <row r="139" ht="15" customHeight="1" s="91">
      <c r="A139" s="90" t="inlineStr">
        <is>
          <t>UCLA Anderson|2</t>
        </is>
      </c>
      <c r="B139" s="90" t="inlineStr">
        <is>
          <t>UCLA Anderson</t>
        </is>
      </c>
      <c r="C139" s="90" t="inlineStr">
        <is>
          <t>Finance</t>
        </is>
      </c>
      <c r="D139" s="90" t="n">
        <v>13</v>
      </c>
      <c r="E139" s="90" t="inlineStr">
        <is>
          <t>https://anderson.ucla.edu/degrees/phd-program/areas-of-study</t>
        </is>
      </c>
    </row>
    <row r="140" ht="15" customHeight="1" s="91">
      <c r="A140" s="90" t="inlineStr">
        <is>
          <t>UCLA Anderson|3</t>
        </is>
      </c>
      <c r="B140" s="90" t="inlineStr">
        <is>
          <t>UCLA Anderson</t>
        </is>
      </c>
      <c r="C140" s="90" t="inlineStr">
        <is>
          <t>Decisions, Operations and Technology Management (DOTM)</t>
        </is>
      </c>
      <c r="D140" s="90" t="n">
        <v>10</v>
      </c>
      <c r="E140" s="90" t="inlineStr">
        <is>
          <t>https://www.anderson.ucla.edu/faculty-and-research/decisions-operations-and-technology-management</t>
        </is>
      </c>
    </row>
    <row r="141" ht="15" customHeight="1" s="91">
      <c r="A141" s="90" t="inlineStr">
        <is>
          <t>UCLA Anderson|4</t>
        </is>
      </c>
      <c r="B141" s="90" t="inlineStr">
        <is>
          <t>UCLA Anderson</t>
        </is>
      </c>
      <c r="C141" s="90" t="inlineStr">
        <is>
          <t>Strategy</t>
        </is>
      </c>
      <c r="D141" s="90" t="n">
        <v>10</v>
      </c>
      <c r="E141" s="90" t="inlineStr">
        <is>
          <t>https://anderson.ucla.edu/degrees/phd-program/areas-of-study</t>
        </is>
      </c>
    </row>
    <row r="142" ht="15" customHeight="1" s="91">
      <c r="A142" s="90" t="inlineStr">
        <is>
          <t>UCLA Anderson|5</t>
        </is>
      </c>
      <c r="B142" s="90" t="inlineStr">
        <is>
          <t>UCLA Anderson</t>
        </is>
      </c>
      <c r="C142" s="90" t="inlineStr">
        <is>
          <t>Behavioral Decision Making</t>
        </is>
      </c>
      <c r="D142" s="90" t="n">
        <v>5</v>
      </c>
      <c r="E142" s="90" t="inlineStr">
        <is>
          <t>https://www.anderson.ucla.edu/faculty-and-research/behavioral-decision-making</t>
        </is>
      </c>
    </row>
    <row r="143" ht="15" customHeight="1" s="91">
      <c r="A143" s="90" t="inlineStr">
        <is>
          <t>UCLA Anderson|6</t>
        </is>
      </c>
      <c r="B143" s="90" t="inlineStr">
        <is>
          <t>UCLA Anderson</t>
        </is>
      </c>
      <c r="C143" s="90" t="inlineStr">
        <is>
          <t>Accounting</t>
        </is>
      </c>
      <c r="D143" s="90" t="n">
        <v>5</v>
      </c>
      <c r="E143" s="90" t="inlineStr">
        <is>
          <t>https://anderson.ucla.edu/degrees/phd-program/areas-of-study</t>
        </is>
      </c>
    </row>
    <row r="144" ht="15" customHeight="1" s="91">
      <c r="A144" s="90" t="inlineStr">
        <is>
          <t>UCLA Anderson|7</t>
        </is>
      </c>
      <c r="B144" s="90" t="inlineStr">
        <is>
          <t>UCLA Anderson</t>
        </is>
      </c>
      <c r="C144" s="90" t="inlineStr">
        <is>
          <t>Global Economics &amp; Management</t>
        </is>
      </c>
      <c r="D144" s="90" t="n">
        <v>4</v>
      </c>
      <c r="E144" s="90" t="inlineStr">
        <is>
          <t>https://anderson.ucla.edu/degrees/phd-program/areas-of-study</t>
        </is>
      </c>
    </row>
    <row r="145" ht="15" customHeight="1" s="91">
      <c r="A145" s="90" t="inlineStr">
        <is>
          <t>UCLA Anderson|8</t>
        </is>
      </c>
      <c r="B145" s="90" t="inlineStr">
        <is>
          <t>UCLA Anderson</t>
        </is>
      </c>
      <c r="C145" s="90" t="inlineStr">
        <is>
          <t>Management &amp; Organizations</t>
        </is>
      </c>
      <c r="D145" s="90" t="n">
        <v>4</v>
      </c>
      <c r="E145" s="90" t="inlineStr">
        <is>
          <t>https://anderson.ucla.edu/degrees/phd-program/areas-of-study</t>
        </is>
      </c>
    </row>
    <row r="146" ht="15" customHeight="1" s="91">
      <c r="A146" s="90" t="inlineStr">
        <is>
          <t>Vanderbilt Owen|1</t>
        </is>
      </c>
      <c r="B146" s="90" t="inlineStr">
        <is>
          <t>Vanderbilt Owen</t>
        </is>
      </c>
      <c r="C146" s="90" t="inlineStr">
        <is>
          <t>Organization Studies</t>
        </is>
      </c>
      <c r="D146" s="90" t="n">
        <v>12</v>
      </c>
      <c r="E146" s="90" t="inlineStr">
        <is>
          <t>https://business.vanderbilt.edu/faculty/organizational-behavior/</t>
        </is>
      </c>
    </row>
    <row r="147" ht="15" customHeight="1" s="91">
      <c r="A147" s="90" t="inlineStr">
        <is>
          <t>Vanderbilt Owen|2</t>
        </is>
      </c>
      <c r="B147" s="90" t="inlineStr">
        <is>
          <t>Vanderbilt Owen</t>
        </is>
      </c>
      <c r="C147" s="90" t="inlineStr">
        <is>
          <t>Finance</t>
        </is>
      </c>
      <c r="D147" s="90" t="n">
        <v>10</v>
      </c>
      <c r="E147" s="90" t="inlineStr">
        <is>
          <t>https://business.vanderbilt.edu/faculty/finance/</t>
        </is>
      </c>
    </row>
    <row r="148" ht="15" customHeight="1" s="91">
      <c r="A148" s="90" t="inlineStr">
        <is>
          <t>Vanderbilt Owen|3</t>
        </is>
      </c>
      <c r="B148" s="90" t="inlineStr">
        <is>
          <t>Vanderbilt Owen</t>
        </is>
      </c>
      <c r="C148" s="90" t="inlineStr">
        <is>
          <t>Marketing</t>
        </is>
      </c>
      <c r="D148" s="90" t="n">
        <v>8</v>
      </c>
      <c r="E148" s="90" t="inlineStr">
        <is>
          <t>https://business.vanderbilt.edu/faculty/marketing/</t>
        </is>
      </c>
    </row>
    <row r="149" ht="15" customHeight="1" s="91">
      <c r="A149" s="90" t="inlineStr">
        <is>
          <t>Vanderbilt Owen|4</t>
        </is>
      </c>
      <c r="B149" s="90" t="inlineStr">
        <is>
          <t>Vanderbilt Owen</t>
        </is>
      </c>
      <c r="C149" s="90" t="inlineStr">
        <is>
          <t>Operations Management</t>
        </is>
      </c>
      <c r="D149" s="90" t="n">
        <v>7</v>
      </c>
      <c r="E149" s="90" t="inlineStr">
        <is>
          <t>https://business.vanderbilt.edu/our-school/faculty/operations/</t>
        </is>
      </c>
    </row>
    <row r="150" ht="15" customHeight="1" s="91">
      <c r="A150" s="90" t="inlineStr">
        <is>
          <t>Vanderbilt Owen|5</t>
        </is>
      </c>
      <c r="B150" s="90" t="inlineStr">
        <is>
          <t>Vanderbilt Owen</t>
        </is>
      </c>
      <c r="C150" s="90" t="inlineStr">
        <is>
          <t>Accounting</t>
        </is>
      </c>
      <c r="D150" s="90" t="n">
        <v>5</v>
      </c>
      <c r="E150" s="90" t="inlineStr">
        <is>
          <t>https://business.vanderbilt.edu/faculty/accounting/</t>
        </is>
      </c>
    </row>
    <row r="151" ht="15" customHeight="1" s="91">
      <c r="A151" s="90" t="inlineStr">
        <is>
          <t>Vanderbilt Owen|6</t>
        </is>
      </c>
      <c r="B151" s="90" t="inlineStr">
        <is>
          <t>Vanderbilt Owen</t>
        </is>
      </c>
      <c r="C151" s="90" t="inlineStr">
        <is>
          <t>Strategy</t>
        </is>
      </c>
      <c r="D151" s="90" t="n">
        <v>4</v>
      </c>
      <c r="E151" s="90" t="inlineStr">
        <is>
          <t>https://business.vanderbilt.edu/faculty/strategy/</t>
        </is>
      </c>
    </row>
    <row r="152" ht="15" customHeight="1" s="91">
      <c r="A152" s="90" t="inlineStr">
        <is>
          <t>WashU Olin|1</t>
        </is>
      </c>
      <c r="B152" s="90" t="inlineStr">
        <is>
          <t>WashU Olin</t>
        </is>
      </c>
      <c r="C152" s="90" t="inlineStr">
        <is>
          <t>Finance</t>
        </is>
      </c>
      <c r="D152" s="90" t="n">
        <v>20</v>
      </c>
      <c r="E152" s="90" t="inlineStr">
        <is>
          <t>https://olin.wustl.edu/faculty-research/academic-areas/finance/</t>
        </is>
      </c>
    </row>
    <row r="153" ht="15" customHeight="1" s="91">
      <c r="A153" s="90" t="inlineStr">
        <is>
          <t>WashU Olin|2</t>
        </is>
      </c>
      <c r="B153" s="90" t="inlineStr">
        <is>
          <t>WashU Olin</t>
        </is>
      </c>
      <c r="C153" s="90" t="inlineStr">
        <is>
          <t>Marketing</t>
        </is>
      </c>
      <c r="D153" s="90" t="n">
        <v>17</v>
      </c>
      <c r="E153" s="90" t="inlineStr">
        <is>
          <t>https://olin.wustl.edu/faculty-research/academic-areas/marketing/</t>
        </is>
      </c>
    </row>
    <row r="154" ht="15" customHeight="1" s="91">
      <c r="A154" s="90" t="inlineStr">
        <is>
          <t>WashU Olin|3</t>
        </is>
      </c>
      <c r="B154" s="90" t="inlineStr">
        <is>
          <t>WashU Olin</t>
        </is>
      </c>
      <c r="C154" s="90" t="inlineStr">
        <is>
          <t>Organization &amp; Strategic Management</t>
        </is>
      </c>
      <c r="D154" s="90" t="n">
        <v>12</v>
      </c>
      <c r="E154" s="90" t="inlineStr">
        <is>
          <t>https://olin.wustl.edu/faculty-research/academic-areas/organization-strategic-management/</t>
        </is>
      </c>
    </row>
    <row r="155" ht="15" customHeight="1" s="91">
      <c r="A155" s="90" t="inlineStr">
        <is>
          <t>WashU Olin|4</t>
        </is>
      </c>
      <c r="B155" s="90" t="inlineStr">
        <is>
          <t>WashU Olin</t>
        </is>
      </c>
      <c r="C155" s="90" t="inlineStr">
        <is>
          <t>Economics &amp; Strategy</t>
        </is>
      </c>
      <c r="D155" s="90" t="n">
        <v>10</v>
      </c>
      <c r="E155" s="90" t="inlineStr">
        <is>
          <t>https://olin.wustl.edu/faculty-research/academic-areas/economics-strategy/</t>
        </is>
      </c>
    </row>
    <row r="156" ht="15" customHeight="1" s="91">
      <c r="A156" s="90" t="inlineStr">
        <is>
          <t>WashU Olin|5</t>
        </is>
      </c>
      <c r="B156" s="90" t="inlineStr">
        <is>
          <t>WashU Olin</t>
        </is>
      </c>
      <c r="C156" s="90" t="inlineStr">
        <is>
          <t>Accounting</t>
        </is>
      </c>
      <c r="D156" s="90" t="n">
        <v>9</v>
      </c>
      <c r="E156" s="90" t="inlineStr">
        <is>
          <t>https://olin.wustl.edu/faculty-research/academic-areas/accounting/</t>
        </is>
      </c>
    </row>
    <row r="157" ht="15" customHeight="1" s="91">
      <c r="A157" s="90" t="inlineStr">
        <is>
          <t>WashU Olin|6</t>
        </is>
      </c>
      <c r="B157" s="90" t="inlineStr">
        <is>
          <t>WashU Olin</t>
        </is>
      </c>
      <c r="C157" s="90" t="inlineStr">
        <is>
          <t>Supply Chain, Operations and Technology</t>
        </is>
      </c>
      <c r="D157" s="90" t="n">
        <v>9</v>
      </c>
      <c r="E157" s="90" t="inlineStr">
        <is>
          <t>https://olin.wustl.edu/faculty-research/academic-areas/supply-chain-operations-technology/</t>
        </is>
      </c>
    </row>
    <row r="158" ht="15" customHeight="1" s="91">
      <c r="A158" s="90" t="inlineStr">
        <is>
          <t>Georgetown MSOB|1</t>
        </is>
      </c>
      <c r="B158" s="90" t="inlineStr">
        <is>
          <t>Georgetown MSOB</t>
        </is>
      </c>
      <c r="C158" s="90" t="inlineStr">
        <is>
          <t>Finance</t>
        </is>
      </c>
      <c r="D158" s="90" t="n">
        <v>17</v>
      </c>
      <c r="E158" s="90" t="inlineStr">
        <is>
          <t>https://msb.georgetown.edu/faculty-research/</t>
        </is>
      </c>
    </row>
    <row r="159" ht="15" customHeight="1" s="91">
      <c r="A159" s="90" t="inlineStr">
        <is>
          <t>Georgetown MSOB|2</t>
        </is>
      </c>
      <c r="B159" s="90" t="inlineStr">
        <is>
          <t>Georgetown MSOB</t>
        </is>
      </c>
      <c r="C159" s="90" t="inlineStr">
        <is>
          <t>Operations and Analytics (OPAN)</t>
        </is>
      </c>
      <c r="D159" s="90" t="n">
        <v>16</v>
      </c>
      <c r="E159" s="90" t="inlineStr">
        <is>
          <t>https://msb.georgetown.edu/faculty-research/operations-analytics/</t>
        </is>
      </c>
    </row>
    <row r="160" ht="15" customHeight="1" s="91">
      <c r="A160" s="90" t="inlineStr">
        <is>
          <t>Georgetown MSOB|3</t>
        </is>
      </c>
      <c r="B160" s="90" t="inlineStr">
        <is>
          <t>Georgetown MSOB</t>
        </is>
      </c>
      <c r="C160" s="90" t="inlineStr">
        <is>
          <t>Marketing</t>
        </is>
      </c>
      <c r="D160" s="90" t="n">
        <v>12</v>
      </c>
      <c r="E160" s="90" t="inlineStr">
        <is>
          <t>https://msb.georgetown.edu/faculty-research/</t>
        </is>
      </c>
    </row>
    <row r="161" ht="15" customHeight="1" s="91">
      <c r="A161" s="90" t="inlineStr">
        <is>
          <t>Georgetown MSOB|4</t>
        </is>
      </c>
      <c r="B161" s="90" t="inlineStr">
        <is>
          <t>Georgetown MSOB</t>
        </is>
      </c>
      <c r="C161" s="90" t="inlineStr">
        <is>
          <t>Management</t>
        </is>
      </c>
      <c r="D161" s="90" t="n">
        <v>11</v>
      </c>
      <c r="E161" s="90" t="inlineStr">
        <is>
          <t>https://msb.georgetown.edu/faculty-research/</t>
        </is>
      </c>
    </row>
    <row r="162" ht="15" customHeight="1" s="91">
      <c r="A162" s="90" t="inlineStr">
        <is>
          <t>Georgetown MSOB|5</t>
        </is>
      </c>
      <c r="B162" s="90" t="inlineStr">
        <is>
          <t>Georgetown MSOB</t>
        </is>
      </c>
      <c r="C162" s="90" t="inlineStr">
        <is>
          <t>Strategy</t>
        </is>
      </c>
      <c r="D162" s="90" t="n">
        <v>9</v>
      </c>
      <c r="E162" s="90" t="inlineStr">
        <is>
          <t>https://msb.georgetown.edu/faculty-research/</t>
        </is>
      </c>
    </row>
    <row r="163" ht="15" customHeight="1" s="91">
      <c r="A163" s="90" t="inlineStr">
        <is>
          <t>Georgetown MSOB|6</t>
        </is>
      </c>
      <c r="B163" s="90" t="inlineStr">
        <is>
          <t>Georgetown MSOB</t>
        </is>
      </c>
      <c r="C163" s="90" t="inlineStr">
        <is>
          <t>Accounting &amp; Business Law</t>
        </is>
      </c>
      <c r="D163" s="90" t="n">
        <v>9</v>
      </c>
      <c r="E163" s="90" t="inlineStr">
        <is>
          <t>https://msb.georgetown.edu/faculty-research/</t>
        </is>
      </c>
    </row>
    <row r="164" ht="15" customHeight="1" s="91">
      <c r="A164" s="90" t="inlineStr">
        <is>
          <t>Indiana Kelley|1</t>
        </is>
      </c>
      <c r="B164" s="90" t="inlineStr">
        <is>
          <t>Indiana Kelley</t>
        </is>
      </c>
      <c r="C164" s="90" t="inlineStr">
        <is>
          <t>Operations &amp; Decision Technologies (ODT)</t>
        </is>
      </c>
      <c r="D164" s="90" t="n">
        <v>37</v>
      </c>
      <c r="E164" s="90" t="inlineStr">
        <is>
          <t>https://kelley.iu.edu/faculty-research/departments/operations-decision-technologies/</t>
        </is>
      </c>
    </row>
    <row r="165" ht="15" customHeight="1" s="91">
      <c r="A165" s="90" t="inlineStr">
        <is>
          <t>Indiana Kelley|2</t>
        </is>
      </c>
      <c r="B165" s="90" t="inlineStr">
        <is>
          <t>Indiana Kelley</t>
        </is>
      </c>
      <c r="C165" s="90" t="inlineStr">
        <is>
          <t>Operations &amp; Decision Technologies (ODT)</t>
        </is>
      </c>
      <c r="D165" s="90" t="n">
        <v>37</v>
      </c>
      <c r="E165" s="90" t="n"/>
    </row>
    <row r="166" ht="15" customHeight="1" s="91">
      <c r="A166" s="90" t="inlineStr">
        <is>
          <t>Indiana Kelley|3</t>
        </is>
      </c>
      <c r="B166" s="90" t="inlineStr">
        <is>
          <t>Indiana Kelley</t>
        </is>
      </c>
      <c r="C166" s="90" t="inlineStr">
        <is>
          <t>Management &amp; Entrepreneurship</t>
        </is>
      </c>
      <c r="D166" s="90" t="n">
        <v>34</v>
      </c>
      <c r="E166" s="90" t="inlineStr">
        <is>
          <t>https://kelley.iu.edu/faculty-research/departments/</t>
        </is>
      </c>
    </row>
    <row r="167" ht="15" customHeight="1" s="91">
      <c r="A167" s="90" t="inlineStr">
        <is>
          <t>Indiana Kelley|4</t>
        </is>
      </c>
      <c r="B167" s="90" t="inlineStr">
        <is>
          <t>Indiana Kelley</t>
        </is>
      </c>
      <c r="C167" s="90" t="inlineStr">
        <is>
          <t>Accounting</t>
        </is>
      </c>
      <c r="D167" s="90" t="n">
        <v>31</v>
      </c>
      <c r="E167" s="90" t="inlineStr">
        <is>
          <t>https://kelley.iu.edu/faculty-research/departments/</t>
        </is>
      </c>
    </row>
    <row r="168" ht="15" customHeight="1" s="91">
      <c r="A168" s="90" t="inlineStr">
        <is>
          <t>Indiana Kelley|5</t>
        </is>
      </c>
      <c r="B168" s="90" t="inlineStr">
        <is>
          <t>Indiana Kelley</t>
        </is>
      </c>
      <c r="C168" s="90" t="inlineStr">
        <is>
          <t>Finance</t>
        </is>
      </c>
      <c r="D168" s="90" t="n">
        <v>30</v>
      </c>
      <c r="E168" s="90" t="inlineStr">
        <is>
          <t>https://kelley.iu.edu/faculty-research/departments/</t>
        </is>
      </c>
    </row>
    <row r="169" ht="15" customHeight="1" s="91">
      <c r="A169" s="90" t="inlineStr">
        <is>
          <t>Indiana Kelley|6</t>
        </is>
      </c>
      <c r="B169" s="90" t="inlineStr">
        <is>
          <t>Indiana Kelley</t>
        </is>
      </c>
      <c r="C169" s="90" t="inlineStr">
        <is>
          <t>Marketing</t>
        </is>
      </c>
      <c r="D169" s="90" t="n">
        <v>25</v>
      </c>
      <c r="E169" s="90" t="inlineStr">
        <is>
          <t>https://kelley.iu.edu/faculty-research/departments/</t>
        </is>
      </c>
    </row>
    <row r="170" ht="15" customHeight="1" s="91">
      <c r="A170" s="90" t="inlineStr">
        <is>
          <t>Indiana Kelley|7</t>
        </is>
      </c>
      <c r="B170" s="90" t="inlineStr">
        <is>
          <t>Indiana Kelley</t>
        </is>
      </c>
      <c r="C170" s="90" t="inlineStr">
        <is>
          <t>Business Economics &amp; Public Policy</t>
        </is>
      </c>
      <c r="D170" s="90" t="n">
        <v>18</v>
      </c>
      <c r="E170" s="90" t="inlineStr">
        <is>
          <t>https://kelley.iu.edu/faculty-research/departments/</t>
        </is>
      </c>
    </row>
    <row r="171" ht="15" customHeight="1" s="91">
      <c r="A171" s="90" t="inlineStr">
        <is>
          <t>Indiana Kelley|8</t>
        </is>
      </c>
      <c r="B171" s="90" t="inlineStr">
        <is>
          <t>Indiana Kelley</t>
        </is>
      </c>
      <c r="C171" s="90" t="inlineStr">
        <is>
          <t>Business Law &amp; Ethics</t>
        </is>
      </c>
      <c r="D171" s="90" t="n">
        <v>16</v>
      </c>
      <c r="E171" s="90" t="inlineStr">
        <is>
          <t>https://kelley.iu.edu/faculty-research/departments/</t>
        </is>
      </c>
    </row>
    <row r="172" ht="15" customHeight="1" s="91">
      <c r="A172" s="90" t="inlineStr">
        <is>
          <t>UNC Kenan-Flagler|1</t>
        </is>
      </c>
      <c r="B172" s="90" t="inlineStr">
        <is>
          <t>UNC Kenan-Flagler</t>
        </is>
      </c>
      <c r="C172" s="90" t="inlineStr">
        <is>
          <t>Finance</t>
        </is>
      </c>
      <c r="D172" s="90" t="n">
        <v>20</v>
      </c>
      <c r="E172" s="90" t="inlineStr">
        <is>
          <t>https://www.kenan-flagler.unc.edu/faculty/academic-areas/finance/</t>
        </is>
      </c>
    </row>
    <row r="173" ht="15" customHeight="1" s="91">
      <c r="A173" s="90" t="inlineStr">
        <is>
          <t>UNC Kenan-Flagler|2</t>
        </is>
      </c>
      <c r="B173" s="90" t="inlineStr">
        <is>
          <t>UNC Kenan-Flagler</t>
        </is>
      </c>
      <c r="C173" s="90" t="inlineStr">
        <is>
          <t>Accounting</t>
        </is>
      </c>
      <c r="D173" s="90" t="n">
        <v>16</v>
      </c>
      <c r="E173" s="90" t="inlineStr">
        <is>
          <t>https://www.kenan-flagler.unc.edu/faculty/academic-areas/accounting/</t>
        </is>
      </c>
    </row>
    <row r="174" ht="15" customHeight="1" s="91">
      <c r="A174" s="90" t="inlineStr">
        <is>
          <t>UNC Kenan-Flagler|3</t>
        </is>
      </c>
      <c r="B174" s="90" t="inlineStr">
        <is>
          <t>UNC Kenan-Flagler</t>
        </is>
      </c>
      <c r="C174" s="90" t="inlineStr">
        <is>
          <t>Marketing</t>
        </is>
      </c>
      <c r="D174" s="90" t="n">
        <v>15</v>
      </c>
      <c r="E174" s="90" t="inlineStr">
        <is>
          <t>https://www.kenan-flagler.unc.edu/faculty/academic-areas/marketing/</t>
        </is>
      </c>
    </row>
    <row r="175" ht="15" customHeight="1" s="91">
      <c r="A175" s="90" t="inlineStr">
        <is>
          <t>UNC Kenan-Flagler|4</t>
        </is>
      </c>
      <c r="B175" s="90" t="inlineStr">
        <is>
          <t>UNC Kenan-Flagler</t>
        </is>
      </c>
      <c r="C175" s="90" t="inlineStr">
        <is>
          <t>Operations</t>
        </is>
      </c>
      <c r="D175" s="90" t="n">
        <v>14</v>
      </c>
      <c r="E175" s="90" t="inlineStr">
        <is>
          <t>https://www.kenan-flagler.unc.edu/faculty/academic-areas/operations/</t>
        </is>
      </c>
    </row>
    <row r="176" ht="15" customHeight="1" s="91">
      <c r="A176" s="90" t="inlineStr">
        <is>
          <t>UNC Kenan-Flagler|5</t>
        </is>
      </c>
      <c r="B176" s="90" t="inlineStr">
        <is>
          <t>UNC Kenan-Flagler</t>
        </is>
      </c>
      <c r="C176" s="90" t="inlineStr">
        <is>
          <t>Strategy &amp; Entrepreneurship</t>
        </is>
      </c>
      <c r="D176" s="90" t="n">
        <v>13</v>
      </c>
      <c r="E176" s="90" t="inlineStr">
        <is>
          <t>https://www.kenan-flagler.unc.edu/faculty/academic-areas/strategy-and-entrepreneurship/</t>
        </is>
      </c>
    </row>
    <row r="177" ht="15" customHeight="1" s="91">
      <c r="A177" s="90" t="inlineStr">
        <is>
          <t>UNC Kenan-Flagler|6</t>
        </is>
      </c>
      <c r="B177" s="90" t="inlineStr">
        <is>
          <t>UNC Kenan-Flagler</t>
        </is>
      </c>
      <c r="C177" s="90" t="inlineStr">
        <is>
          <t>Organizational Behavior</t>
        </is>
      </c>
      <c r="D177" s="90" t="n">
        <v>10</v>
      </c>
      <c r="E177" s="90" t="inlineStr">
        <is>
          <t>https://www.kenan-flagler.unc.edu/faculty/academic-areas/organizational-behavior/</t>
        </is>
      </c>
    </row>
    <row r="178" ht="15" customHeight="1" s="91">
      <c r="A178" s="90" t="inlineStr">
        <is>
          <t>UNC Kenan-Flagler|7</t>
        </is>
      </c>
      <c r="B178" s="90" t="inlineStr">
        <is>
          <t>UNC Kenan-Flagler</t>
        </is>
      </c>
      <c r="C178" s="90" t="inlineStr">
        <is>
          <t>Management &amp; Corporate Communication</t>
        </is>
      </c>
      <c r="D178" s="90" t="n">
        <v>7</v>
      </c>
      <c r="E178" s="90" t="inlineStr">
        <is>
          <t>https://www.kenan-flagler.unc.edu/faculty/academic-areas/management-and-corporate-communication/</t>
        </is>
      </c>
    </row>
    <row r="179" ht="15" customHeight="1" s="91">
      <c r="A179" s="90" t="inlineStr">
        <is>
          <t>Notre Dame Mendoza|1</t>
        </is>
      </c>
      <c r="B179" s="90" t="inlineStr">
        <is>
          <t>Notre Dame Mendoza</t>
        </is>
      </c>
      <c r="C179" s="90" t="inlineStr">
        <is>
          <t>Information Technology, Analytics, and Operations (ITAO)</t>
        </is>
      </c>
      <c r="D179" s="90" t="n">
        <v>24</v>
      </c>
      <c r="E179" s="90" t="inlineStr">
        <is>
          <t>https://mendoza.nd.edu/research-faculty/academic-departments/information-technology-analytics-operations/</t>
        </is>
      </c>
    </row>
    <row r="180" ht="15" customHeight="1" s="91">
      <c r="A180" s="90" t="inlineStr">
        <is>
          <t>Notre Dame Mendoza|2</t>
        </is>
      </c>
      <c r="B180" s="90" t="inlineStr">
        <is>
          <t>Notre Dame Mendoza</t>
        </is>
      </c>
      <c r="C180" s="90" t="inlineStr">
        <is>
          <t>Finance</t>
        </is>
      </c>
      <c r="D180" s="90" t="n">
        <v>20</v>
      </c>
      <c r="E180" s="90" t="inlineStr">
        <is>
          <t>https://mendoza.nd.edu/research-faculty/academic-departments/</t>
        </is>
      </c>
    </row>
    <row r="181" ht="15" customHeight="1" s="91">
      <c r="A181" s="90" t="inlineStr">
        <is>
          <t>Notre Dame Mendoza|3</t>
        </is>
      </c>
      <c r="B181" s="90" t="inlineStr">
        <is>
          <t>Notre Dame Mendoza</t>
        </is>
      </c>
      <c r="C181" s="90" t="inlineStr">
        <is>
          <t>Accountancy</t>
        </is>
      </c>
      <c r="D181" s="90" t="n">
        <v>20</v>
      </c>
      <c r="E181" s="90" t="inlineStr">
        <is>
          <t>https://mendoza.nd.edu/research-faculty/academic-departments/</t>
        </is>
      </c>
    </row>
    <row r="182" ht="15" customHeight="1" s="91">
      <c r="A182" s="90" t="inlineStr">
        <is>
          <t>Notre Dame Mendoza|4</t>
        </is>
      </c>
      <c r="B182" s="90" t="inlineStr">
        <is>
          <t>Notre Dame Mendoza</t>
        </is>
      </c>
      <c r="C182" s="90" t="inlineStr">
        <is>
          <t>Management &amp; Organization</t>
        </is>
      </c>
      <c r="D182" s="90" t="n">
        <v>16</v>
      </c>
      <c r="E182" s="90" t="inlineStr">
        <is>
          <t>https://mendoza.nd.edu/research-faculty/academic-departments/</t>
        </is>
      </c>
    </row>
    <row r="183" ht="15" customHeight="1" s="91">
      <c r="A183" s="90" t="inlineStr">
        <is>
          <t>Notre Dame Mendoza|5</t>
        </is>
      </c>
      <c r="B183" s="90" t="inlineStr">
        <is>
          <t>Notre Dame Mendoza</t>
        </is>
      </c>
      <c r="C183" s="90" t="inlineStr">
        <is>
          <t>Marketing</t>
        </is>
      </c>
      <c r="D183" s="90" t="n">
        <v>14</v>
      </c>
      <c r="E183" s="90" t="inlineStr">
        <is>
          <t>https://mendoza.nd.edu/research-faculty/academic-departments/</t>
        </is>
      </c>
    </row>
    <row r="184" ht="15" customHeight="1" s="91">
      <c r="A184" s="90" t="inlineStr">
        <is>
          <t>USC Marshall|1</t>
        </is>
      </c>
      <c r="B184" s="90" t="inlineStr">
        <is>
          <t>USC Marshall</t>
        </is>
      </c>
      <c r="C184" s="90" t="inlineStr">
        <is>
          <t>Finance &amp; Business Economics</t>
        </is>
      </c>
      <c r="D184" s="90" t="n">
        <v>40</v>
      </c>
      <c r="E184" s="90" t="inlineStr">
        <is>
          <t>https://www.marshall.usc.edu/departments/finance-business-economics</t>
        </is>
      </c>
    </row>
    <row r="185" ht="15" customHeight="1" s="91">
      <c r="A185" s="90" t="inlineStr">
        <is>
          <t>USC Marshall|2</t>
        </is>
      </c>
      <c r="B185" s="90" t="inlineStr">
        <is>
          <t>USC Marshall</t>
        </is>
      </c>
      <c r="C185" s="90" t="inlineStr">
        <is>
          <t>Marketing</t>
        </is>
      </c>
      <c r="D185" s="90" t="n">
        <v>27</v>
      </c>
      <c r="E185" s="90" t="inlineStr">
        <is>
          <t>https://www.marshall.usc.edu/departments/marketing</t>
        </is>
      </c>
    </row>
    <row r="186" ht="15" customHeight="1" s="91">
      <c r="A186" s="90" t="inlineStr">
        <is>
          <t>USC Marshall|3</t>
        </is>
      </c>
      <c r="B186" s="90" t="inlineStr">
        <is>
          <t>USC Marshall</t>
        </is>
      </c>
      <c r="C186" s="90" t="inlineStr">
        <is>
          <t>Management &amp; Organization</t>
        </is>
      </c>
      <c r="D186" s="90" t="n">
        <v>27</v>
      </c>
      <c r="E186" s="90" t="inlineStr">
        <is>
          <t>https://www.marshall.usc.edu/departments/management-and-organization</t>
        </is>
      </c>
    </row>
    <row r="187" ht="15" customHeight="1" s="91">
      <c r="A187" s="90" t="inlineStr">
        <is>
          <t>USC Marshall|4</t>
        </is>
      </c>
      <c r="B187" s="90" t="inlineStr">
        <is>
          <t>USC Marshall</t>
        </is>
      </c>
      <c r="C187" s="90" t="inlineStr">
        <is>
          <t>Data Sciences and Operations (DSO)</t>
        </is>
      </c>
      <c r="D187" s="90" t="n">
        <v>26</v>
      </c>
      <c r="E187" s="90" t="inlineStr">
        <is>
          <t>https://www.marshall.usc.edu/departments/data-sciences-and-operations</t>
        </is>
      </c>
    </row>
    <row r="188" ht="15" customHeight="1" s="91">
      <c r="A188" s="90" t="inlineStr">
        <is>
          <t>USC Marshall|5</t>
        </is>
      </c>
      <c r="B188" s="90" t="inlineStr">
        <is>
          <t>USC Marshall</t>
        </is>
      </c>
      <c r="C188" s="90" t="inlineStr">
        <is>
          <t>Accounting (Leventhal)</t>
        </is>
      </c>
      <c r="D188" s="90" t="n">
        <v>24</v>
      </c>
      <c r="E188" s="90" t="inlineStr">
        <is>
          <t>https://www.marshall.usc.edu/departments/leventhal-school-accounting</t>
        </is>
      </c>
    </row>
    <row r="189" ht="15" customHeight="1" s="91">
      <c r="A189" s="90" t="inlineStr">
        <is>
          <t>Rice Jones|1</t>
        </is>
      </c>
      <c r="B189" s="90" t="inlineStr">
        <is>
          <t>Rice Jones</t>
        </is>
      </c>
      <c r="C189" s="90" t="inlineStr">
        <is>
          <t>Finance</t>
        </is>
      </c>
      <c r="D189" s="90" t="n">
        <v>19</v>
      </c>
      <c r="E189" s="90" t="inlineStr">
        <is>
          <t>https://business.rice.edu/faculty-research/research/finance</t>
        </is>
      </c>
    </row>
    <row r="190" ht="15" customHeight="1" s="91">
      <c r="A190" s="90" t="inlineStr">
        <is>
          <t>Rice Jones|2</t>
        </is>
      </c>
      <c r="B190" s="90" t="inlineStr">
        <is>
          <t>Rice Jones</t>
        </is>
      </c>
      <c r="C190" s="90" t="inlineStr">
        <is>
          <t>Accounting</t>
        </is>
      </c>
      <c r="D190" s="90" t="n">
        <v>12</v>
      </c>
      <c r="E190" s="90" t="inlineStr">
        <is>
          <t>https://business.rice.edu/faculty-research/research/accounting</t>
        </is>
      </c>
    </row>
    <row r="191" ht="15" customHeight="1" s="91">
      <c r="A191" s="90" t="inlineStr">
        <is>
          <t>Rice Jones|3</t>
        </is>
      </c>
      <c r="B191" s="90" t="inlineStr">
        <is>
          <t>Rice Jones</t>
        </is>
      </c>
      <c r="C191" s="90" t="inlineStr">
        <is>
          <t>Marketing</t>
        </is>
      </c>
      <c r="D191" s="90" t="n">
        <v>11</v>
      </c>
      <c r="E191" s="90" t="inlineStr">
        <is>
          <t>https://business.rice.edu/faculty-research/research/marketing</t>
        </is>
      </c>
    </row>
    <row r="192" ht="15" customHeight="1" s="91">
      <c r="A192" s="90" t="inlineStr">
        <is>
          <t>Rice Jones|4</t>
        </is>
      </c>
      <c r="B192" s="90" t="inlineStr">
        <is>
          <t>Rice Jones</t>
        </is>
      </c>
      <c r="C192" s="90" t="inlineStr">
        <is>
          <t>Management</t>
        </is>
      </c>
      <c r="D192" s="90" t="n">
        <v>6</v>
      </c>
      <c r="E192" s="90" t="inlineStr">
        <is>
          <t>https://business.rice.edu/faculty-research/research/organizational-behavior</t>
        </is>
      </c>
    </row>
    <row r="193" ht="15" customHeight="1" s="91">
      <c r="A193" s="90" t="inlineStr">
        <is>
          <t>Rice Jones|5</t>
        </is>
      </c>
      <c r="B193" s="90" t="inlineStr">
        <is>
          <t>Rice Jones</t>
        </is>
      </c>
      <c r="C193" s="90" t="inlineStr">
        <is>
          <t>Operations Management</t>
        </is>
      </c>
      <c r="D193" s="90" t="n">
        <v>6</v>
      </c>
      <c r="E193" s="90" t="inlineStr">
        <is>
          <t>https://business.rice.edu/faculty-research/research/operations-management</t>
        </is>
      </c>
    </row>
    <row r="194" ht="15" customHeight="1" s="91">
      <c r="A194" s="90" t="inlineStr">
        <is>
          <t>Rice Jones|6</t>
        </is>
      </c>
      <c r="B194" s="90" t="inlineStr">
        <is>
          <t>Rice Jones</t>
        </is>
      </c>
      <c r="C194" s="90" t="inlineStr">
        <is>
          <t>Strategic Management</t>
        </is>
      </c>
      <c r="D194" s="90" t="n">
        <v>6</v>
      </c>
      <c r="E194" s="90" t="inlineStr">
        <is>
          <t>https://business.rice.edu/faculty-research/research/strategy-and-environment</t>
        </is>
      </c>
    </row>
    <row r="195" ht="15" customHeight="1" s="91">
      <c r="A195" s="90" t="inlineStr">
        <is>
          <t>Minnesota Carlson|1</t>
        </is>
      </c>
      <c r="B195" s="90" t="inlineStr">
        <is>
          <t>Minnesota Carlson</t>
        </is>
      </c>
      <c r="C195" s="90" t="inlineStr">
        <is>
          <t>Information &amp; Decision Sciences</t>
        </is>
      </c>
      <c r="D195" s="90" t="n">
        <v>18</v>
      </c>
      <c r="E195" s="90" t="inlineStr">
        <is>
          <t>https://carlsonschool.umn.edu/departments/information-decision-sciences/</t>
        </is>
      </c>
    </row>
    <row r="196" ht="15" customHeight="1" s="91">
      <c r="A196" s="90" t="inlineStr">
        <is>
          <t>Minnesota Carlson|2</t>
        </is>
      </c>
      <c r="B196" s="90" t="inlineStr">
        <is>
          <t>Minnesota Carlson</t>
        </is>
      </c>
      <c r="C196" s="90" t="inlineStr">
        <is>
          <t>Strategic Management &amp; Entrepreneurship</t>
        </is>
      </c>
      <c r="D196" s="90" t="n">
        <v>17</v>
      </c>
      <c r="E196" s="90" t="inlineStr">
        <is>
          <t>https://carlsonschool.umn.edu/departments/strategic-management-entrepreneurship/</t>
        </is>
      </c>
    </row>
    <row r="197" ht="15" customHeight="1" s="91">
      <c r="A197" s="90" t="inlineStr">
        <is>
          <t>Minnesota Carlson|3</t>
        </is>
      </c>
      <c r="B197" s="90" t="inlineStr">
        <is>
          <t>Minnesota Carlson</t>
        </is>
      </c>
      <c r="C197" s="90" t="inlineStr">
        <is>
          <t>Finance</t>
        </is>
      </c>
      <c r="D197" s="90" t="n">
        <v>15</v>
      </c>
      <c r="E197" s="90" t="inlineStr">
        <is>
          <t>https://carlsonschool.umn.edu/departments/finance/</t>
        </is>
      </c>
    </row>
    <row r="198" ht="15" customHeight="1" s="91">
      <c r="A198" s="90" t="inlineStr">
        <is>
          <t>Minnesota Carlson|4</t>
        </is>
      </c>
      <c r="B198" s="90" t="inlineStr">
        <is>
          <t>Minnesota Carlson</t>
        </is>
      </c>
      <c r="C198" s="90" t="inlineStr">
        <is>
          <t>Marketing</t>
        </is>
      </c>
      <c r="D198" s="90" t="n">
        <v>15</v>
      </c>
      <c r="E198" s="90" t="inlineStr">
        <is>
          <t>https://carlsonschool.umn.edu/departments/marketing/</t>
        </is>
      </c>
    </row>
    <row r="199" ht="15" customHeight="1" s="91">
      <c r="A199" s="90" t="inlineStr">
        <is>
          <t>Minnesota Carlson|5</t>
        </is>
      </c>
      <c r="B199" s="90" t="inlineStr">
        <is>
          <t>Minnesota Carlson</t>
        </is>
      </c>
      <c r="C199" s="90" t="inlineStr">
        <is>
          <t>Accounting</t>
        </is>
      </c>
      <c r="D199" s="90" t="n">
        <v>13</v>
      </c>
      <c r="E199" s="90" t="inlineStr">
        <is>
          <t>https://carlsonschool.umn.edu/departments/accounting/</t>
        </is>
      </c>
    </row>
    <row r="200" ht="15" customHeight="1" s="91">
      <c r="A200" s="90" t="inlineStr">
        <is>
          <t>Minnesota Carlson|6</t>
        </is>
      </c>
      <c r="B200" s="90" t="inlineStr">
        <is>
          <t>Minnesota Carlson</t>
        </is>
      </c>
      <c r="C200" s="90" t="inlineStr">
        <is>
          <t>Supply Chain &amp; Operations</t>
        </is>
      </c>
      <c r="D200" s="90" t="n">
        <v>9</v>
      </c>
      <c r="E200" s="90" t="inlineStr">
        <is>
          <t>https://carlsonschool.umn.edu/departments/supply-chain-operations/</t>
        </is>
      </c>
    </row>
    <row r="201" ht="15" customHeight="1" s="91">
      <c r="A201" s="90" t="inlineStr">
        <is>
          <t>Ohio State Fisher|1</t>
        </is>
      </c>
      <c r="B201" s="90" t="inlineStr">
        <is>
          <t>Ohio State Fisher</t>
        </is>
      </c>
      <c r="C201" s="90" t="inlineStr">
        <is>
          <t>Finance</t>
        </is>
      </c>
      <c r="D201" s="90" t="n">
        <v>24</v>
      </c>
      <c r="E201" s="90" t="inlineStr">
        <is>
          <t>https://fisher.osu.edu/academic-departments/finance/</t>
        </is>
      </c>
    </row>
    <row r="202" ht="15" customHeight="1" s="91">
      <c r="A202" s="90" t="inlineStr">
        <is>
          <t>Ohio State Fisher|2</t>
        </is>
      </c>
      <c r="B202" s="90" t="inlineStr">
        <is>
          <t>Ohio State Fisher</t>
        </is>
      </c>
      <c r="C202" s="90" t="inlineStr">
        <is>
          <t>Marketing &amp; Logistics</t>
        </is>
      </c>
      <c r="D202" s="90" t="n">
        <v>21</v>
      </c>
      <c r="E202" s="90" t="inlineStr">
        <is>
          <t>https://fisher.osu.edu/academic-departments/marketing-logistics/</t>
        </is>
      </c>
    </row>
    <row r="203" ht="15" customHeight="1" s="91">
      <c r="A203" s="90" t="inlineStr">
        <is>
          <t>Ohio State Fisher|3</t>
        </is>
      </c>
      <c r="B203" s="90" t="inlineStr">
        <is>
          <t>Ohio State Fisher</t>
        </is>
      </c>
      <c r="C203" s="90" t="inlineStr">
        <is>
          <t>Management Sciences</t>
        </is>
      </c>
      <c r="D203" s="90" t="n">
        <v>20</v>
      </c>
      <c r="E203" s="90" t="inlineStr">
        <is>
          <t>https://fisher.osu.edu/academic-departments/management-sciences</t>
        </is>
      </c>
    </row>
    <row r="204" ht="15" customHeight="1" s="91">
      <c r="A204" s="90" t="inlineStr">
        <is>
          <t>Ohio State Fisher|4</t>
        </is>
      </c>
      <c r="B204" s="90" t="inlineStr">
        <is>
          <t>Ohio State Fisher</t>
        </is>
      </c>
      <c r="C204" s="90" t="inlineStr">
        <is>
          <t>Accounting &amp; Management Information Systems</t>
        </is>
      </c>
      <c r="D204" s="90" t="n">
        <v>18</v>
      </c>
      <c r="E204" s="90" t="inlineStr">
        <is>
          <t>https://fisher.osu.edu/academic-departments/amis/</t>
        </is>
      </c>
    </row>
    <row r="205" ht="15" customHeight="1" s="91">
      <c r="A205" s="90" t="inlineStr">
        <is>
          <t>Ohio State Fisher|5</t>
        </is>
      </c>
      <c r="B205" s="90" t="inlineStr">
        <is>
          <t>Ohio State Fisher</t>
        </is>
      </c>
      <c r="C205" s="90" t="inlineStr">
        <is>
          <t>Management &amp; Human Resources</t>
        </is>
      </c>
      <c r="D205" s="90" t="n">
        <v>13</v>
      </c>
      <c r="E205" s="90" t="inlineStr">
        <is>
          <t>https://fisher.osu.edu/academic-departments/management-human-resources/</t>
        </is>
      </c>
    </row>
    <row r="206" ht="15" customHeight="1" s="91">
      <c r="A206" s="90" t="inlineStr">
        <is>
          <t>GT Scheller|1</t>
        </is>
      </c>
      <c r="B206" s="90" t="inlineStr">
        <is>
          <t>GT Scheller</t>
        </is>
      </c>
      <c r="C206" s="90" t="inlineStr">
        <is>
          <t>Finance</t>
        </is>
      </c>
      <c r="D206" s="90" t="n">
        <v>13</v>
      </c>
      <c r="E206" s="90" t="inlineStr">
        <is>
          <t>https://scheller.gatech.edu/academics-research/finance/</t>
        </is>
      </c>
    </row>
    <row r="207" ht="15" customHeight="1" s="91">
      <c r="A207" s="90" t="inlineStr">
        <is>
          <t>GT Scheller|2</t>
        </is>
      </c>
      <c r="B207" s="90" t="inlineStr">
        <is>
          <t>GT Scheller</t>
        </is>
      </c>
      <c r="C207" s="90" t="inlineStr">
        <is>
          <t>Information Technology Management</t>
        </is>
      </c>
      <c r="D207" s="90" t="n">
        <v>12</v>
      </c>
      <c r="E207" s="90" t="inlineStr">
        <is>
          <t>https://www.scheller.gatech.edu/academics-research/it-management/</t>
        </is>
      </c>
    </row>
    <row r="208" ht="15" customHeight="1" s="91">
      <c r="A208" s="90" t="inlineStr">
        <is>
          <t>GT Scheller|3</t>
        </is>
      </c>
      <c r="B208" s="90" t="inlineStr">
        <is>
          <t>GT Scheller</t>
        </is>
      </c>
      <c r="C208" s="90" t="inlineStr">
        <is>
          <t>Operations Management</t>
        </is>
      </c>
      <c r="D208" s="90" t="n">
        <v>11</v>
      </c>
      <c r="E208" s="90" t="inlineStr">
        <is>
          <t>https://www.scheller.gatech.edu/academics-research/operations-management/</t>
        </is>
      </c>
    </row>
    <row r="209" ht="15" customHeight="1" s="91">
      <c r="A209" s="90" t="inlineStr">
        <is>
          <t>GT Scheller|4</t>
        </is>
      </c>
      <c r="B209" s="90" t="inlineStr">
        <is>
          <t>GT Scheller</t>
        </is>
      </c>
      <c r="C209" s="90" t="inlineStr">
        <is>
          <t>Accounting</t>
        </is>
      </c>
      <c r="D209" s="90" t="n">
        <v>10</v>
      </c>
      <c r="E209" s="90" t="inlineStr">
        <is>
          <t>https://scheller.gatech.edu/academics-research/accounting/</t>
        </is>
      </c>
    </row>
    <row r="210" ht="15" customHeight="1" s="91">
      <c r="A210" s="90" t="inlineStr">
        <is>
          <t>GT Scheller|5</t>
        </is>
      </c>
      <c r="B210" s="90" t="inlineStr">
        <is>
          <t>GT Scheller</t>
        </is>
      </c>
      <c r="C210" s="90" t="inlineStr">
        <is>
          <t>Marketing</t>
        </is>
      </c>
      <c r="D210" s="90" t="n">
        <v>10</v>
      </c>
      <c r="E210" s="90" t="inlineStr">
        <is>
          <t>https://scheller.gatech.edu/academics-research/marketing/</t>
        </is>
      </c>
    </row>
    <row r="211" ht="15" customHeight="1" s="91">
      <c r="A211" s="90" t="inlineStr">
        <is>
          <t>GT Scheller|6</t>
        </is>
      </c>
      <c r="B211" s="90" t="inlineStr">
        <is>
          <t>GT Scheller</t>
        </is>
      </c>
      <c r="C211" s="90" t="inlineStr">
        <is>
          <t>Strategy &amp; Innovation</t>
        </is>
      </c>
      <c r="D211" s="90" t="n">
        <v>10</v>
      </c>
      <c r="E211" s="90" t="inlineStr">
        <is>
          <t>https://scheller.gatech.edu/academics-research/strategy-innovation/</t>
        </is>
      </c>
    </row>
    <row r="212" ht="15" customHeight="1" s="91">
      <c r="A212" s="90" t="inlineStr">
        <is>
          <t>GT Scheller|7</t>
        </is>
      </c>
      <c r="B212" s="90" t="inlineStr">
        <is>
          <t>GT Scheller</t>
        </is>
      </c>
      <c r="C212" s="90" t="inlineStr">
        <is>
          <t>Organizational Behavior</t>
        </is>
      </c>
      <c r="D212" s="90" t="n">
        <v>9</v>
      </c>
      <c r="E212" s="90" t="inlineStr">
        <is>
          <t>https://scheller.gatech.edu/academics-research/organizational-behavior/</t>
        </is>
      </c>
    </row>
    <row r="213" ht="15" customHeight="1" s="91">
      <c r="A213" s="90" t="inlineStr">
        <is>
          <t>GT Scheller|8</t>
        </is>
      </c>
      <c r="B213" s="90" t="inlineStr">
        <is>
          <t>GT Scheller</t>
        </is>
      </c>
      <c r="C213" s="90" t="inlineStr">
        <is>
          <t>Law &amp; Ethics</t>
        </is>
      </c>
      <c r="D213" s="90" t="n">
        <v>3</v>
      </c>
      <c r="E213" s="90" t="inlineStr">
        <is>
          <t>https://scheller.gatech.edu/academics-research/law-ethics/</t>
        </is>
      </c>
    </row>
    <row r="214" ht="15" customHeight="1" s="91">
      <c r="A214" s="90" t="inlineStr">
        <is>
          <t>Penn State Smeal|1</t>
        </is>
      </c>
      <c r="B214" s="90" t="inlineStr">
        <is>
          <t>Penn State Smeal</t>
        </is>
      </c>
      <c r="C214" s="90" t="inlineStr">
        <is>
          <t>Finance</t>
        </is>
      </c>
      <c r="D214" s="90" t="n">
        <v>22</v>
      </c>
      <c r="E214" s="90" t="inlineStr">
        <is>
          <t>https://www.smeal.psu.edu/finance</t>
        </is>
      </c>
    </row>
    <row r="215" ht="15" customHeight="1" s="91">
      <c r="A215" s="90" t="inlineStr">
        <is>
          <t>Penn State Smeal|2</t>
        </is>
      </c>
      <c r="B215" s="90" t="inlineStr">
        <is>
          <t>Penn State Smeal</t>
        </is>
      </c>
      <c r="C215" s="90" t="inlineStr">
        <is>
          <t>Marketing</t>
        </is>
      </c>
      <c r="D215" s="90" t="n">
        <v>17</v>
      </c>
      <c r="E215" s="90" t="inlineStr">
        <is>
          <t>https://www.smeal.psu.edu/marketing</t>
        </is>
      </c>
    </row>
    <row r="216" ht="15" customHeight="1" s="91">
      <c r="A216" s="90" t="inlineStr">
        <is>
          <t>Penn State Smeal|3</t>
        </is>
      </c>
      <c r="B216" s="90" t="inlineStr">
        <is>
          <t>Penn State Smeal</t>
        </is>
      </c>
      <c r="C216" s="90" t="inlineStr">
        <is>
          <t>Management &amp; Organization</t>
        </is>
      </c>
      <c r="D216" s="90" t="n">
        <v>16</v>
      </c>
      <c r="E216" s="90" t="inlineStr">
        <is>
          <t>https://www.smeal.psu.edu/management</t>
        </is>
      </c>
    </row>
    <row r="217" ht="15" customHeight="1" s="91">
      <c r="A217" s="90" t="inlineStr">
        <is>
          <t>Penn State Smeal|4</t>
        </is>
      </c>
      <c r="B217" s="90" t="inlineStr">
        <is>
          <t>Penn State Smeal</t>
        </is>
      </c>
      <c r="C217" s="90" t="inlineStr">
        <is>
          <t>Accounting</t>
        </is>
      </c>
      <c r="D217" s="90" t="n">
        <v>15</v>
      </c>
      <c r="E217" s="90" t="inlineStr">
        <is>
          <t>https://www.smeal.psu.edu/accounting</t>
        </is>
      </c>
    </row>
    <row r="218" ht="15" customHeight="1" s="91">
      <c r="A218" s="90" t="inlineStr">
        <is>
          <t>Penn State Smeal|5</t>
        </is>
      </c>
      <c r="B218" s="90" t="inlineStr">
        <is>
          <t>Penn State Smeal</t>
        </is>
      </c>
      <c r="C218" s="90" t="inlineStr">
        <is>
          <t>Supply Chain and Information Systems</t>
        </is>
      </c>
      <c r="D218" s="90" t="n">
        <v>14</v>
      </c>
      <c r="E218" s="90" t="inlineStr">
        <is>
          <t>https://www.smeal.psu.edu/scis</t>
        </is>
      </c>
    </row>
    <row r="219" ht="15" customHeight="1" s="91">
      <c r="A219" s="90" t="inlineStr">
        <is>
          <t>Penn State Smeal|6</t>
        </is>
      </c>
      <c r="B219" s="90" t="inlineStr">
        <is>
          <t>Penn State Smeal</t>
        </is>
      </c>
      <c r="C219" s="90" t="inlineStr">
        <is>
          <t>Risk Management</t>
        </is>
      </c>
      <c r="D219" s="90" t="n">
        <v>13</v>
      </c>
      <c r="E219" s="90" t="inlineStr">
        <is>
          <t>https://www.smeal.psu.edu/risk</t>
        </is>
      </c>
    </row>
    <row r="220" ht="15" customHeight="1" s="91">
      <c r="A220" s="90" t="inlineStr">
        <is>
          <t>Texas A&amp;M Mays|1</t>
        </is>
      </c>
      <c r="B220" s="90" t="inlineStr">
        <is>
          <t>Texas A&amp;M Mays</t>
        </is>
      </c>
      <c r="C220" s="90" t="inlineStr">
        <is>
          <t>Accounting</t>
        </is>
      </c>
      <c r="D220" s="90" t="n">
        <v>28</v>
      </c>
      <c r="E220" s="90" t="inlineStr">
        <is>
          <t>https://mays.tamu.edu/departments/</t>
        </is>
      </c>
    </row>
    <row r="221" ht="15" customHeight="1" s="91">
      <c r="A221" s="90" t="inlineStr">
        <is>
          <t>Texas A&amp;M Mays|2</t>
        </is>
      </c>
      <c r="B221" s="90" t="inlineStr">
        <is>
          <t>Texas A&amp;M Mays</t>
        </is>
      </c>
      <c r="C221" s="90" t="inlineStr">
        <is>
          <t>Finance</t>
        </is>
      </c>
      <c r="D221" s="90" t="n">
        <v>24</v>
      </c>
      <c r="E221" s="90" t="inlineStr">
        <is>
          <t>https://mays.tamu.edu/departments/</t>
        </is>
      </c>
    </row>
    <row r="222" ht="15" customHeight="1" s="91">
      <c r="A222" s="90" t="inlineStr">
        <is>
          <t>Texas A&amp;M Mays|3</t>
        </is>
      </c>
      <c r="B222" s="90" t="inlineStr">
        <is>
          <t>Texas A&amp;M Mays</t>
        </is>
      </c>
      <c r="C222" s="90" t="inlineStr">
        <is>
          <t>Information and Operations Management</t>
        </is>
      </c>
      <c r="D222" s="90" t="n">
        <v>23</v>
      </c>
      <c r="E222" s="90" t="inlineStr">
        <is>
          <t>https://mays.tamu.edu/departments/information-and-operations-management/</t>
        </is>
      </c>
    </row>
    <row r="223" ht="15" customHeight="1" s="91">
      <c r="A223" s="90" t="inlineStr">
        <is>
          <t>Texas A&amp;M Mays|4</t>
        </is>
      </c>
      <c r="B223" s="90" t="inlineStr">
        <is>
          <t>Texas A&amp;M Mays</t>
        </is>
      </c>
      <c r="C223" s="90" t="inlineStr">
        <is>
          <t>Management</t>
        </is>
      </c>
      <c r="D223" s="90" t="n">
        <v>22</v>
      </c>
      <c r="E223" s="90" t="inlineStr">
        <is>
          <t>https://mays.tamu.edu/departments/</t>
        </is>
      </c>
    </row>
    <row r="224" ht="15" customHeight="1" s="91">
      <c r="A224" s="90" t="inlineStr">
        <is>
          <t>Texas A&amp;M Mays|5</t>
        </is>
      </c>
      <c r="B224" s="90" t="inlineStr">
        <is>
          <t>Texas A&amp;M Mays</t>
        </is>
      </c>
      <c r="C224" s="90" t="inlineStr">
        <is>
          <t>Marketing</t>
        </is>
      </c>
      <c r="D224" s="90" t="n">
        <v>20</v>
      </c>
      <c r="E224" s="90" t="inlineStr">
        <is>
          <t>https://mays.tamu.edu/departments/</t>
        </is>
      </c>
    </row>
    <row r="225" ht="15" customHeight="1" s="91">
      <c r="A225" s="90" t="inlineStr">
        <is>
          <t>Purdue Krannert|1</t>
        </is>
      </c>
      <c r="B225" s="90" t="inlineStr">
        <is>
          <t>Purdue Krannert</t>
        </is>
      </c>
      <c r="C225" s="90" t="inlineStr">
        <is>
          <t>Economics</t>
        </is>
      </c>
      <c r="D225" s="90" t="n">
        <v>29</v>
      </c>
      <c r="E225" s="90" t="inlineStr">
        <is>
          <t>https://business.purdue.edu/academics/economics/</t>
        </is>
      </c>
    </row>
    <row r="226" ht="15" customHeight="1" s="91">
      <c r="A226" s="90" t="inlineStr">
        <is>
          <t>Purdue Krannert|2</t>
        </is>
      </c>
      <c r="B226" s="90" t="inlineStr">
        <is>
          <t>Purdue Krannert</t>
        </is>
      </c>
      <c r="C226" s="90" t="inlineStr">
        <is>
          <t>Quantitative Methods</t>
        </is>
      </c>
      <c r="D226" s="90" t="n">
        <v>16</v>
      </c>
      <c r="E226" s="90" t="inlineStr">
        <is>
          <t>https://business.purdue.edu/academics/quantitative-methods/</t>
        </is>
      </c>
    </row>
    <row r="227" ht="15" customHeight="1" s="91">
      <c r="A227" s="90" t="inlineStr">
        <is>
          <t>Purdue Krannert|3</t>
        </is>
      </c>
      <c r="B227" s="90" t="inlineStr">
        <is>
          <t>Purdue Krannert</t>
        </is>
      </c>
      <c r="C227" s="90" t="inlineStr">
        <is>
          <t>Finance</t>
        </is>
      </c>
      <c r="D227" s="90" t="n">
        <v>14</v>
      </c>
      <c r="E227" s="90" t="inlineStr">
        <is>
          <t>https://business.purdue.edu/academics/finance/</t>
        </is>
      </c>
    </row>
    <row r="228" ht="15" customHeight="1" s="91">
      <c r="A228" s="90" t="inlineStr">
        <is>
          <t>Purdue Krannert|4</t>
        </is>
      </c>
      <c r="B228" s="90" t="inlineStr">
        <is>
          <t>Purdue Krannert</t>
        </is>
      </c>
      <c r="C228" s="90" t="inlineStr">
        <is>
          <t>Accounting</t>
        </is>
      </c>
      <c r="D228" s="90" t="n">
        <v>13</v>
      </c>
      <c r="E228" s="90" t="inlineStr">
        <is>
          <t>https://business.purdue.edu/academics/accounting/</t>
        </is>
      </c>
    </row>
    <row r="229" ht="15" customHeight="1" s="91">
      <c r="A229" s="90" t="inlineStr">
        <is>
          <t>Purdue Krannert|5</t>
        </is>
      </c>
      <c r="B229" s="90" t="inlineStr">
        <is>
          <t>Purdue Krannert</t>
        </is>
      </c>
      <c r="C229" s="90" t="inlineStr">
        <is>
          <t>Management</t>
        </is>
      </c>
      <c r="D229" s="90" t="n">
        <v>11</v>
      </c>
      <c r="E229" s="90" t="inlineStr">
        <is>
          <t>https://business.purdue.edu/academics/management/</t>
        </is>
      </c>
    </row>
    <row r="230" ht="15" customHeight="1" s="91">
      <c r="A230" s="90" t="inlineStr">
        <is>
          <t>Purdue Krannert|6</t>
        </is>
      </c>
      <c r="B230" s="90" t="inlineStr">
        <is>
          <t>Purdue Krannert</t>
        </is>
      </c>
      <c r="C230" s="90" t="inlineStr">
        <is>
          <t>Strategic Management</t>
        </is>
      </c>
      <c r="D230" s="90" t="n">
        <v>11</v>
      </c>
      <c r="E230" s="90" t="inlineStr">
        <is>
          <t>https://business.purdue.edu/academics/strategic-management/</t>
        </is>
      </c>
    </row>
    <row r="231" ht="15" customHeight="1" s="91">
      <c r="A231" s="90" t="inlineStr">
        <is>
          <t>Purdue Krannert|7</t>
        </is>
      </c>
      <c r="B231" s="90" t="inlineStr">
        <is>
          <t>Purdue Krannert</t>
        </is>
      </c>
      <c r="C231" s="90" t="inlineStr">
        <is>
          <t>Organizational Behavior &amp; Human Resource Management</t>
        </is>
      </c>
      <c r="D231" s="90" t="n">
        <v>10</v>
      </c>
      <c r="E231" s="90" t="inlineStr">
        <is>
          <t>https://business.purdue.edu/academics/obhr/</t>
        </is>
      </c>
    </row>
    <row r="232" ht="15" customHeight="1" s="91">
      <c r="A232" s="90" t="inlineStr">
        <is>
          <t>Purdue Krannert|8</t>
        </is>
      </c>
      <c r="B232" s="90" t="inlineStr">
        <is>
          <t>Purdue Krannert</t>
        </is>
      </c>
      <c r="C232" s="90" t="inlineStr">
        <is>
          <t>Marketing</t>
        </is>
      </c>
      <c r="D232" s="90" t="n">
        <v>9</v>
      </c>
      <c r="E232" s="90" t="inlineStr">
        <is>
          <t>https://business.purdue.edu/academics/marketing/</t>
        </is>
      </c>
    </row>
    <row r="233" ht="15" customHeight="1" s="91">
      <c r="A233" s="90" t="inlineStr">
        <is>
          <t>ASU Carey|1</t>
        </is>
      </c>
      <c r="B233" s="90" t="inlineStr">
        <is>
          <t>ASU Carey</t>
        </is>
      </c>
      <c r="C233" s="90" t="inlineStr">
        <is>
          <t>Finance</t>
        </is>
      </c>
      <c r="D233" s="90" t="n">
        <v>7</v>
      </c>
      <c r="E233" s="90" t="inlineStr">
        <is>
          <t>https://wpcarey.asu.edu/faculty-research/departments</t>
        </is>
      </c>
    </row>
    <row r="234" ht="15" customHeight="1" s="91">
      <c r="A234" s="90" t="inlineStr">
        <is>
          <t>ASU Carey|2</t>
        </is>
      </c>
      <c r="B234" s="90" t="inlineStr">
        <is>
          <t>ASU Carey</t>
        </is>
      </c>
      <c r="C234" s="90" t="inlineStr">
        <is>
          <t>Supply Chain Management</t>
        </is>
      </c>
      <c r="D234" s="90" t="n">
        <v>7</v>
      </c>
      <c r="E234" s="90" t="inlineStr">
        <is>
          <t>https://wpcarey.asu.edu/supply-chain-management-department</t>
        </is>
      </c>
    </row>
    <row r="235" ht="15" customHeight="1" s="91">
      <c r="A235" s="90" t="inlineStr">
        <is>
          <t>ASU Carey|3</t>
        </is>
      </c>
      <c r="B235" s="90" t="inlineStr">
        <is>
          <t>ASU Carey</t>
        </is>
      </c>
      <c r="C235" s="90" t="inlineStr">
        <is>
          <t>Accountancy</t>
        </is>
      </c>
      <c r="D235" s="90" t="n">
        <v>6</v>
      </c>
      <c r="E235" s="90" t="inlineStr">
        <is>
          <t>https://wpcarey.asu.edu/faculty-research/departments</t>
        </is>
      </c>
    </row>
    <row r="236" ht="15" customHeight="1" s="91">
      <c r="A236" s="90" t="inlineStr">
        <is>
          <t>ASU Carey|4</t>
        </is>
      </c>
      <c r="B236" s="90" t="inlineStr">
        <is>
          <t>ASU Carey</t>
        </is>
      </c>
      <c r="C236" s="90" t="inlineStr">
        <is>
          <t>Economics</t>
        </is>
      </c>
      <c r="D236" s="90" t="n">
        <v>6</v>
      </c>
      <c r="E236" s="90" t="inlineStr">
        <is>
          <t>https://wpcarey.asu.edu/faculty-research/departments</t>
        </is>
      </c>
    </row>
    <row r="237" ht="15" customHeight="1" s="91">
      <c r="A237" s="90" t="inlineStr">
        <is>
          <t>ASU Carey|5</t>
        </is>
      </c>
      <c r="B237" s="90" t="inlineStr">
        <is>
          <t>ASU Carey</t>
        </is>
      </c>
      <c r="C237" s="90" t="inlineStr">
        <is>
          <t>Information Systems</t>
        </is>
      </c>
      <c r="D237" s="90" t="n">
        <v>6</v>
      </c>
      <c r="E237" s="90" t="inlineStr">
        <is>
          <t>https://wpcarey.asu.edu/information-systems-department</t>
        </is>
      </c>
    </row>
    <row r="238" ht="15" customHeight="1" s="91">
      <c r="A238" s="90" t="inlineStr">
        <is>
          <t>ASU Carey|6</t>
        </is>
      </c>
      <c r="B238" s="90" t="inlineStr">
        <is>
          <t>ASU Carey</t>
        </is>
      </c>
      <c r="C238" s="90" t="inlineStr">
        <is>
          <t>Management &amp; Entrepreneurship</t>
        </is>
      </c>
      <c r="D238" s="90" t="n">
        <v>6</v>
      </c>
      <c r="E238" s="90" t="inlineStr">
        <is>
          <t>https://wpcarey.asu.edu/faculty-research/departments</t>
        </is>
      </c>
    </row>
    <row r="239" ht="15" customHeight="1" s="91">
      <c r="A239" s="90" t="inlineStr">
        <is>
          <t>ASU Carey|7</t>
        </is>
      </c>
      <c r="B239" s="90" t="inlineStr">
        <is>
          <t>ASU Carey</t>
        </is>
      </c>
      <c r="C239" s="90" t="inlineStr">
        <is>
          <t>Marketing</t>
        </is>
      </c>
      <c r="D239" s="90" t="n">
        <v>6</v>
      </c>
      <c r="E239" s="90" t="inlineStr">
        <is>
          <t>https://wpcarey.asu.edu/faculty-research/departments</t>
        </is>
      </c>
    </row>
    <row r="240" ht="15" customHeight="1" s="91">
      <c r="A240" s="90" t="inlineStr">
        <is>
          <t>Wisconsin SoB|1</t>
        </is>
      </c>
      <c r="B240" s="90" t="inlineStr">
        <is>
          <t>Wisconsin SoB</t>
        </is>
      </c>
      <c r="C240" s="90" t="inlineStr">
        <is>
          <t>Management &amp; Human Resources</t>
        </is>
      </c>
      <c r="D240" s="90" t="n">
        <v>18</v>
      </c>
      <c r="E240" s="90" t="inlineStr">
        <is>
          <t>https://business.wisc.edu/faculty-research/management-human-resources/</t>
        </is>
      </c>
    </row>
    <row r="241" ht="15" customHeight="1" s="91">
      <c r="A241" s="90" t="inlineStr">
        <is>
          <t>Wisconsin SoB|2</t>
        </is>
      </c>
      <c r="B241" s="90" t="inlineStr">
        <is>
          <t>Wisconsin SoB</t>
        </is>
      </c>
      <c r="C241" s="90" t="inlineStr">
        <is>
          <t>Finance, Investment &amp; Banking</t>
        </is>
      </c>
      <c r="D241" s="90" t="n">
        <v>17</v>
      </c>
      <c r="E241" s="90" t="inlineStr">
        <is>
          <t>https://business.wisc.edu/faculty-research/finance-investment-banking/</t>
        </is>
      </c>
    </row>
    <row r="242" ht="15" customHeight="1" s="91">
      <c r="A242" s="90" t="inlineStr">
        <is>
          <t>Wisconsin SoB|3</t>
        </is>
      </c>
      <c r="B242" s="90" t="inlineStr">
        <is>
          <t>Wisconsin SoB</t>
        </is>
      </c>
      <c r="C242" s="90" t="inlineStr">
        <is>
          <t>Marketing</t>
        </is>
      </c>
      <c r="D242" s="90" t="n">
        <v>16</v>
      </c>
      <c r="E242" s="90" t="inlineStr">
        <is>
          <t>https://business.wisc.edu/faculty-research/marketing/</t>
        </is>
      </c>
    </row>
    <row r="243" ht="15" customHeight="1" s="91">
      <c r="A243" s="90" t="inlineStr">
        <is>
          <t>Wisconsin SoB|4</t>
        </is>
      </c>
      <c r="B243" s="90" t="inlineStr">
        <is>
          <t>Wisconsin SoB</t>
        </is>
      </c>
      <c r="C243" s="90" t="inlineStr">
        <is>
          <t>Accounting &amp; Information Systems</t>
        </is>
      </c>
      <c r="D243" s="90" t="n">
        <v>15</v>
      </c>
      <c r="E243" s="90" t="inlineStr">
        <is>
          <t>https://business.wisc.edu/faculty-research/accounting-information-systems/</t>
        </is>
      </c>
    </row>
    <row r="244" ht="15" customHeight="1" s="91">
      <c r="A244" s="90" t="inlineStr">
        <is>
          <t>Wisconsin SoB|5</t>
        </is>
      </c>
      <c r="B244" s="90" t="inlineStr">
        <is>
          <t>Wisconsin SoB</t>
        </is>
      </c>
      <c r="C244" s="90" t="inlineStr">
        <is>
          <t>Operations and Information Management</t>
        </is>
      </c>
      <c r="D244" s="90" t="n">
        <v>14</v>
      </c>
      <c r="E244" s="90" t="inlineStr">
        <is>
          <t>https://business.wisc.edu/faculty-research/operations-information-management/</t>
        </is>
      </c>
    </row>
    <row r="245" ht="15" customHeight="1" s="91">
      <c r="A245" s="90" t="inlineStr">
        <is>
          <t>Wisconsin SoB|6</t>
        </is>
      </c>
      <c r="B245" s="90" t="inlineStr">
        <is>
          <t>Wisconsin SoB</t>
        </is>
      </c>
      <c r="C245" s="90" t="inlineStr">
        <is>
          <t>Real Estate &amp; Urban Land Economics</t>
        </is>
      </c>
      <c r="D245" s="90" t="n">
        <v>6</v>
      </c>
      <c r="E245" s="90" t="inlineStr">
        <is>
          <t>https://business.wisc.edu/faculty-research/real-estate-urban-land-economics/</t>
        </is>
      </c>
    </row>
    <row r="246" ht="15" customHeight="1" s="91">
      <c r="A246" s="90" t="inlineStr">
        <is>
          <t>Wisconsin SoB|7</t>
        </is>
      </c>
      <c r="B246" s="90" t="inlineStr">
        <is>
          <t>Wisconsin SoB</t>
        </is>
      </c>
      <c r="C246" s="90" t="inlineStr">
        <is>
          <t>Risk &amp; Insurance</t>
        </is>
      </c>
      <c r="D246" s="90" t="n">
        <v>6</v>
      </c>
      <c r="E246" s="90" t="inlineStr">
        <is>
          <t>https://business.wisc.edu/faculty-research/risk-insurance/</t>
        </is>
      </c>
    </row>
    <row r="247" ht="15" customHeight="1" s="91">
      <c r="A247" s="90" t="inlineStr">
        <is>
          <t>Maryland Smith|1</t>
        </is>
      </c>
      <c r="B247" s="90" t="inlineStr">
        <is>
          <t>Maryland Smith</t>
        </is>
      </c>
      <c r="C247" s="90" t="inlineStr">
        <is>
          <t>Decision, Operations &amp; Information Technologies (DO&amp;IT)</t>
        </is>
      </c>
      <c r="D247" s="90" t="n">
        <v>27</v>
      </c>
      <c r="E247" s="90" t="inlineStr">
        <is>
          <t>https://www.rhsmith.umd.edu/departments/decision-operations-information-technologies</t>
        </is>
      </c>
    </row>
    <row r="248" ht="15" customHeight="1" s="91">
      <c r="A248" s="90" t="inlineStr">
        <is>
          <t>Maryland Smith|2</t>
        </is>
      </c>
      <c r="B248" s="90" t="inlineStr">
        <is>
          <t>Maryland Smith</t>
        </is>
      </c>
      <c r="C248" s="90" t="inlineStr">
        <is>
          <t>Finance</t>
        </is>
      </c>
      <c r="D248" s="90" t="n">
        <v>20</v>
      </c>
      <c r="E248" s="90" t="inlineStr">
        <is>
          <t>https://www.rhsmith.umd.edu/departments/finance</t>
        </is>
      </c>
    </row>
    <row r="249" ht="15" customHeight="1" s="91">
      <c r="A249" s="90" t="inlineStr">
        <is>
          <t>Maryland Smith|3</t>
        </is>
      </c>
      <c r="B249" s="90" t="inlineStr">
        <is>
          <t>Maryland Smith</t>
        </is>
      </c>
      <c r="C249" s="90" t="inlineStr">
        <is>
          <t>Management &amp; Organization</t>
        </is>
      </c>
      <c r="D249" s="90" t="n">
        <v>17</v>
      </c>
      <c r="E249" s="90" t="inlineStr">
        <is>
          <t>https://www.rhsmith.umd.edu/departments/management-organization</t>
        </is>
      </c>
    </row>
    <row r="250" ht="15" customHeight="1" s="91">
      <c r="A250" s="90" t="inlineStr">
        <is>
          <t>Maryland Smith|4</t>
        </is>
      </c>
      <c r="B250" s="90" t="inlineStr">
        <is>
          <t>Maryland Smith</t>
        </is>
      </c>
      <c r="C250" s="90" t="inlineStr">
        <is>
          <t>Marketing</t>
        </is>
      </c>
      <c r="D250" s="90" t="n">
        <v>16</v>
      </c>
      <c r="E250" s="90" t="inlineStr">
        <is>
          <t>https://www.rhsmith.umd.edu/departments/marketing</t>
        </is>
      </c>
    </row>
    <row r="251" ht="15" customHeight="1" s="91">
      <c r="A251" s="90" t="inlineStr">
        <is>
          <t>Maryland Smith|5</t>
        </is>
      </c>
      <c r="B251" s="90" t="inlineStr">
        <is>
          <t>Maryland Smith</t>
        </is>
      </c>
      <c r="C251" s="90" t="inlineStr">
        <is>
          <t>Accounting &amp; Information Assurance</t>
        </is>
      </c>
      <c r="D251" s="90" t="n">
        <v>9</v>
      </c>
      <c r="E251" s="90" t="inlineStr">
        <is>
          <t>https://www.rhsmith.umd.edu/departments/accounting-information-assurance</t>
        </is>
      </c>
    </row>
    <row r="252" ht="15" customHeight="1" s="91">
      <c r="A252" s="90" t="inlineStr">
        <is>
          <t>Maryland Smith|6</t>
        </is>
      </c>
      <c r="B252" s="90" t="inlineStr">
        <is>
          <t>Maryland Smith</t>
        </is>
      </c>
      <c r="C252" s="90" t="inlineStr">
        <is>
          <t>Logistics, Business &amp; Public Policy</t>
        </is>
      </c>
      <c r="D252" s="90" t="n">
        <v>9</v>
      </c>
      <c r="E252" s="90" t="inlineStr">
        <is>
          <t>https://www.rhsmith.umd.edu/departments/logistics-business-public-policy</t>
        </is>
      </c>
    </row>
    <row r="253" ht="15" customHeight="1" s="91">
      <c r="A253" s="90" t="inlineStr">
        <is>
          <t>BU Questrom|1</t>
        </is>
      </c>
      <c r="B253" s="90" t="inlineStr">
        <is>
          <t>BU Questrom</t>
        </is>
      </c>
      <c r="C253" s="90" t="inlineStr">
        <is>
          <t>Finance</t>
        </is>
      </c>
      <c r="D253" s="90" t="n">
        <v>17</v>
      </c>
      <c r="E253" s="90" t="inlineStr">
        <is>
          <t>https://bu.edu/questrom/faculty/academic-departments/</t>
        </is>
      </c>
    </row>
    <row r="254" ht="15" customHeight="1" s="91">
      <c r="A254" s="90" t="inlineStr">
        <is>
          <t>BU Questrom|2</t>
        </is>
      </c>
      <c r="B254" s="90" t="inlineStr">
        <is>
          <t>BU Questrom</t>
        </is>
      </c>
      <c r="C254" s="90" t="inlineStr">
        <is>
          <t>Marketing</t>
        </is>
      </c>
      <c r="D254" s="90" t="n">
        <v>17</v>
      </c>
      <c r="E254" s="90" t="inlineStr">
        <is>
          <t>https://bu.edu/questrom/faculty/academic-departments/</t>
        </is>
      </c>
    </row>
    <row r="255" ht="15" customHeight="1" s="91">
      <c r="A255" s="90" t="inlineStr">
        <is>
          <t>BU Questrom|3</t>
        </is>
      </c>
      <c r="B255" s="90" t="inlineStr">
        <is>
          <t>BU Questrom</t>
        </is>
      </c>
      <c r="C255" s="90" t="inlineStr">
        <is>
          <t>Information Systems</t>
        </is>
      </c>
      <c r="D255" s="90" t="n">
        <v>15</v>
      </c>
      <c r="E255" s="90" t="inlineStr">
        <is>
          <t>https://www.bu.edu/questrom/faculty-research/academic-departments/information-systems/</t>
        </is>
      </c>
    </row>
    <row r="256" ht="15" customHeight="1" s="91">
      <c r="A256" s="90" t="inlineStr">
        <is>
          <t>BU Questrom|4</t>
        </is>
      </c>
      <c r="B256" s="90" t="inlineStr">
        <is>
          <t>BU Questrom</t>
        </is>
      </c>
      <c r="C256" s="90" t="inlineStr">
        <is>
          <t>Markets, Public Policy &amp; Law</t>
        </is>
      </c>
      <c r="D256" s="90" t="n">
        <v>12</v>
      </c>
      <c r="E256" s="90" t="inlineStr">
        <is>
          <t>https://bu.edu/questrom/faculty/academic-departments/</t>
        </is>
      </c>
    </row>
    <row r="257" ht="15" customHeight="1" s="91">
      <c r="A257" s="90" t="inlineStr">
        <is>
          <t>BU Questrom|5</t>
        </is>
      </c>
      <c r="B257" s="90" t="inlineStr">
        <is>
          <t>BU Questrom</t>
        </is>
      </c>
      <c r="C257" s="90" t="inlineStr">
        <is>
          <t>Management &amp; Organizations</t>
        </is>
      </c>
      <c r="D257" s="90" t="n">
        <v>11</v>
      </c>
      <c r="E257" s="90" t="inlineStr">
        <is>
          <t>https://bu.edu/questrom/faculty/academic-departments/</t>
        </is>
      </c>
    </row>
    <row r="258" ht="15" customHeight="1" s="91">
      <c r="A258" s="90" t="inlineStr">
        <is>
          <t>BU Questrom|6</t>
        </is>
      </c>
      <c r="B258" s="90" t="inlineStr">
        <is>
          <t>BU Questrom</t>
        </is>
      </c>
      <c r="C258" s="90" t="inlineStr">
        <is>
          <t>Accounting</t>
        </is>
      </c>
      <c r="D258" s="90" t="n">
        <v>11</v>
      </c>
      <c r="E258" s="90" t="inlineStr">
        <is>
          <t>https://bu.edu/questrom/faculty/academic-departments/</t>
        </is>
      </c>
    </row>
    <row r="259" ht="15" customHeight="1" s="91">
      <c r="A259" s="90" t="inlineStr">
        <is>
          <t>BU Questrom|7</t>
        </is>
      </c>
      <c r="B259" s="90" t="inlineStr">
        <is>
          <t>BU Questrom</t>
        </is>
      </c>
      <c r="C259" s="90" t="inlineStr">
        <is>
          <t>Strategy &amp; Innovation</t>
        </is>
      </c>
      <c r="D259" s="90" t="n">
        <v>11</v>
      </c>
      <c r="E259" s="90" t="inlineStr">
        <is>
          <t>https://bu.edu/questrom/faculty/academic-departments/</t>
        </is>
      </c>
    </row>
    <row r="260" ht="15" customHeight="1" s="91">
      <c r="A260" s="90" t="inlineStr">
        <is>
          <t>BU Questrom|8</t>
        </is>
      </c>
      <c r="B260" s="90" t="inlineStr">
        <is>
          <t>BU Questrom</t>
        </is>
      </c>
      <c r="C260" s="90" t="inlineStr">
        <is>
          <t>Operations &amp; Technology Management</t>
        </is>
      </c>
      <c r="D260" s="90" t="n">
        <v>7</v>
      </c>
      <c r="E260" s="90" t="inlineStr">
        <is>
          <t>https://www.bu.edu/questrom/faculty-research/academic-departments/operations-technology-management/</t>
        </is>
      </c>
    </row>
    <row r="261" ht="15" customHeight="1" s="91">
      <c r="A261" s="90" t="inlineStr">
        <is>
          <t>UF Warrington|1</t>
        </is>
      </c>
      <c r="B261" s="90" t="inlineStr">
        <is>
          <t>UF Warrington</t>
        </is>
      </c>
      <c r="C261" s="90" t="inlineStr">
        <is>
          <t>Finance, Insurance &amp; Real Estate</t>
        </is>
      </c>
      <c r="D261" s="90" t="n">
        <v>22</v>
      </c>
      <c r="E261" s="90" t="inlineStr">
        <is>
          <t>https://warrington.ufl.edu/faculty-research/academic-groups/</t>
        </is>
      </c>
    </row>
    <row r="262" ht="15" customHeight="1" s="91">
      <c r="A262" s="90" t="inlineStr">
        <is>
          <t>UF Warrington|2</t>
        </is>
      </c>
      <c r="B262" s="90" t="inlineStr">
        <is>
          <t>UF Warrington</t>
        </is>
      </c>
      <c r="C262" s="90" t="inlineStr">
        <is>
          <t>Information Systems and Operations Management (ISOM)</t>
        </is>
      </c>
      <c r="D262" s="90" t="n">
        <v>21</v>
      </c>
      <c r="E262" s="90" t="inlineStr">
        <is>
          <t>https://warrington.ufl.edu/information-systems-and-operations-management-department/</t>
        </is>
      </c>
    </row>
    <row r="263" ht="15" customHeight="1" s="91">
      <c r="A263" s="90" t="inlineStr">
        <is>
          <t>UF Warrington|3</t>
        </is>
      </c>
      <c r="B263" s="90" t="inlineStr">
        <is>
          <t>UF Warrington</t>
        </is>
      </c>
      <c r="C263" s="90" t="inlineStr">
        <is>
          <t>Accounting (Fisher School)</t>
        </is>
      </c>
      <c r="D263" s="90" t="n">
        <v>15</v>
      </c>
      <c r="E263" s="90" t="inlineStr">
        <is>
          <t>https://warrington.ufl.edu/faculty-research/academic-groups/</t>
        </is>
      </c>
    </row>
    <row r="264" ht="15" customHeight="1" s="91">
      <c r="A264" s="90" t="inlineStr">
        <is>
          <t>UF Warrington|4</t>
        </is>
      </c>
      <c r="B264" s="90" t="inlineStr">
        <is>
          <t>UF Warrington</t>
        </is>
      </c>
      <c r="C264" s="90" t="inlineStr">
        <is>
          <t>Management</t>
        </is>
      </c>
      <c r="D264" s="90" t="n">
        <v>15</v>
      </c>
      <c r="E264" s="90" t="inlineStr">
        <is>
          <t>https://warrington.ufl.edu/faculty-research/academic-groups/</t>
        </is>
      </c>
    </row>
    <row r="265" ht="15" customHeight="1" s="91">
      <c r="A265" s="90" t="inlineStr">
        <is>
          <t>UF Warrington|5</t>
        </is>
      </c>
      <c r="B265" s="90" t="inlineStr">
        <is>
          <t>UF Warrington</t>
        </is>
      </c>
      <c r="C265" s="90" t="inlineStr">
        <is>
          <t>Marketing</t>
        </is>
      </c>
      <c r="D265" s="90" t="n">
        <v>14</v>
      </c>
      <c r="E265" s="90" t="inlineStr">
        <is>
          <t>https://warrington.ufl.edu/faculty-research/academic-groups/</t>
        </is>
      </c>
    </row>
    <row r="266" ht="15" customHeight="1" s="91">
      <c r="A266" s="90" t="inlineStr">
        <is>
          <t>SMU Cox|1</t>
        </is>
      </c>
      <c r="B266" s="90" t="inlineStr">
        <is>
          <t>SMU Cox</t>
        </is>
      </c>
      <c r="C266" s="90" t="inlineStr">
        <is>
          <t>Finance</t>
        </is>
      </c>
      <c r="D266" s="90" t="n">
        <v>19</v>
      </c>
      <c r="E266" s="90" t="inlineStr">
        <is>
          <t>https://smu.edu/cox/academics/departments</t>
        </is>
      </c>
    </row>
    <row r="267" ht="15" customHeight="1" s="91">
      <c r="A267" s="90" t="inlineStr">
        <is>
          <t>SMU Cox|2</t>
        </is>
      </c>
      <c r="B267" s="90" t="inlineStr">
        <is>
          <t>SMU Cox</t>
        </is>
      </c>
      <c r="C267" s="90" t="inlineStr">
        <is>
          <t>Accounting</t>
        </is>
      </c>
      <c r="D267" s="90" t="n">
        <v>10</v>
      </c>
      <c r="E267" s="90" t="inlineStr">
        <is>
          <t>https://smu.edu/cox/academics/departments</t>
        </is>
      </c>
    </row>
    <row r="268" ht="15" customHeight="1" s="91">
      <c r="A268" s="90" t="inlineStr">
        <is>
          <t>SMU Cox|3</t>
        </is>
      </c>
      <c r="B268" s="90" t="inlineStr">
        <is>
          <t>SMU Cox</t>
        </is>
      </c>
      <c r="C268" s="90" t="inlineStr">
        <is>
          <t>Information Technology &amp; Operations Management (ITOM)</t>
        </is>
      </c>
      <c r="D268" s="90" t="n">
        <v>9</v>
      </c>
      <c r="E268" s="90" t="inlineStr">
        <is>
          <t>https://www.smu.edu/cox/academics/information-technology-and-operations-management-department</t>
        </is>
      </c>
    </row>
    <row r="269" ht="15" customHeight="1" s="91">
      <c r="A269" s="90" t="inlineStr">
        <is>
          <t>SMU Cox|4</t>
        </is>
      </c>
      <c r="B269" s="90" t="inlineStr">
        <is>
          <t>SMU Cox</t>
        </is>
      </c>
      <c r="C269" s="90" t="inlineStr">
        <is>
          <t>Management, Strategy &amp; Entrepreneurship</t>
        </is>
      </c>
      <c r="D269" s="90" t="n">
        <v>8</v>
      </c>
      <c r="E269" s="90" t="inlineStr">
        <is>
          <t>https://smu.edu/cox/academics/departments</t>
        </is>
      </c>
    </row>
    <row r="270" ht="15" customHeight="1" s="91">
      <c r="A270" s="90" t="inlineStr">
        <is>
          <t>SMU Cox|5</t>
        </is>
      </c>
      <c r="B270" s="90" t="inlineStr">
        <is>
          <t>SMU Cox</t>
        </is>
      </c>
      <c r="C270" s="90" t="inlineStr">
        <is>
          <t>Marketing</t>
        </is>
      </c>
      <c r="D270" s="90" t="n">
        <v>8</v>
      </c>
      <c r="E270" s="90" t="inlineStr">
        <is>
          <t>https://smu.edu/cox/academics/departments</t>
        </is>
      </c>
    </row>
    <row r="271" ht="15" customHeight="1" s="91">
      <c r="A271" s="90" t="inlineStr">
        <is>
          <t>SMU Cox|6</t>
        </is>
      </c>
      <c r="B271" s="90" t="inlineStr">
        <is>
          <t>SMU Cox</t>
        </is>
      </c>
      <c r="C271" s="90" t="inlineStr">
        <is>
          <t>Real Estate</t>
        </is>
      </c>
      <c r="D271" s="90" t="n">
        <v>1</v>
      </c>
      <c r="E271" s="90" t="inlineStr">
        <is>
          <t>https://smu.edu/cox/academics/departments</t>
        </is>
      </c>
    </row>
    <row r="272" ht="15" customHeight="1" s="91">
      <c r="A272" s="90" t="inlineStr">
        <is>
          <t>UW Foster|1</t>
        </is>
      </c>
      <c r="B272" s="90" t="inlineStr">
        <is>
          <t>UW Foster</t>
        </is>
      </c>
      <c r="C272" s="90" t="inlineStr">
        <is>
          <t>Management &amp; Organization</t>
        </is>
      </c>
      <c r="D272" s="90" t="n">
        <v>20</v>
      </c>
      <c r="E272" s="90" t="inlineStr">
        <is>
          <t>https://foster.uw.edu/faculty-research/academic-departments/</t>
        </is>
      </c>
    </row>
    <row r="273" ht="15" customHeight="1" s="91">
      <c r="A273" s="90" t="inlineStr">
        <is>
          <t>UW Foster|2</t>
        </is>
      </c>
      <c r="B273" s="90" t="inlineStr">
        <is>
          <t>UW Foster</t>
        </is>
      </c>
      <c r="C273" s="90" t="inlineStr">
        <is>
          <t>Finance &amp; Business Economics</t>
        </is>
      </c>
      <c r="D273" s="90" t="n">
        <v>18</v>
      </c>
      <c r="E273" s="90" t="inlineStr">
        <is>
          <t>https://foster.uw.edu/faculty-research/academic-departments/</t>
        </is>
      </c>
    </row>
    <row r="274" ht="15" customHeight="1" s="91">
      <c r="A274" s="90" t="inlineStr">
        <is>
          <t>UW Foster|3</t>
        </is>
      </c>
      <c r="B274" s="90" t="inlineStr">
        <is>
          <t>UW Foster</t>
        </is>
      </c>
      <c r="C274" s="90" t="inlineStr">
        <is>
          <t>Accounting</t>
        </is>
      </c>
      <c r="D274" s="90" t="n">
        <v>18</v>
      </c>
      <c r="E274" s="90" t="inlineStr">
        <is>
          <t>https://foster.uw.edu/faculty-research/academic-departments/</t>
        </is>
      </c>
    </row>
    <row r="275" ht="15" customHeight="1" s="91">
      <c r="A275" s="90" t="inlineStr">
        <is>
          <t>UW Foster|4</t>
        </is>
      </c>
      <c r="B275" s="90" t="inlineStr">
        <is>
          <t>UW Foster</t>
        </is>
      </c>
      <c r="C275" s="90" t="inlineStr">
        <is>
          <t>Marketing &amp; International Business</t>
        </is>
      </c>
      <c r="D275" s="90" t="n">
        <v>18</v>
      </c>
      <c r="E275" s="90" t="inlineStr">
        <is>
          <t>https://foster.uw.edu/faculty-research/academic-departments/</t>
        </is>
      </c>
    </row>
    <row r="276" ht="15" customHeight="1" s="91">
      <c r="A276" s="90" t="inlineStr">
        <is>
          <t>UW Foster|5</t>
        </is>
      </c>
      <c r="B276" s="90" t="inlineStr">
        <is>
          <t>UW Foster</t>
        </is>
      </c>
      <c r="C276" s="90" t="inlineStr">
        <is>
          <t>Information Systems and Operations Management (ISOM)</t>
        </is>
      </c>
      <c r="D276" s="90" t="n">
        <v>9</v>
      </c>
      <c r="E276" s="90" t="inlineStr">
        <is>
          <t>https://foster.uw.edu/faculty-research/academic-departments/information-systems-and-operations-management/</t>
        </is>
      </c>
    </row>
    <row r="277" ht="15" customHeight="1" s="91">
      <c r="A277" s="90" t="inlineStr">
        <is>
          <t>Pitt Katz|1</t>
        </is>
      </c>
      <c r="B277" s="90" t="inlineStr">
        <is>
          <t>Pitt Katz</t>
        </is>
      </c>
      <c r="C277" s="90" t="inlineStr">
        <is>
          <t>Finance</t>
        </is>
      </c>
      <c r="D277" s="90" t="n">
        <v>12</v>
      </c>
      <c r="E277" s="90" t="inlineStr">
        <is>
          <t>https://business.pitt.edu/academics/</t>
        </is>
      </c>
    </row>
    <row r="278" ht="15" customHeight="1" s="91">
      <c r="A278" s="90" t="inlineStr">
        <is>
          <t>Pitt Katz|2</t>
        </is>
      </c>
      <c r="B278" s="90" t="inlineStr">
        <is>
          <t>Pitt Katz</t>
        </is>
      </c>
      <c r="C278" s="90" t="inlineStr">
        <is>
          <t>Accounting</t>
        </is>
      </c>
      <c r="D278" s="90" t="n">
        <v>9</v>
      </c>
      <c r="E278" s="90" t="inlineStr">
        <is>
          <t>https://business.pitt.edu/academics/</t>
        </is>
      </c>
    </row>
    <row r="279" ht="15" customHeight="1" s="91">
      <c r="A279" s="90" t="inlineStr">
        <is>
          <t>Pitt Katz|3</t>
        </is>
      </c>
      <c r="B279" s="90" t="inlineStr">
        <is>
          <t>Pitt Katz</t>
        </is>
      </c>
      <c r="C279" s="90" t="inlineStr">
        <is>
          <t>Business Analytics and Operations</t>
        </is>
      </c>
      <c r="D279" s="90" t="n">
        <v>9</v>
      </c>
      <c r="E279" s="90" t="inlineStr">
        <is>
          <t>https://www.business.pitt.edu/academics/business-analytics-operations/</t>
        </is>
      </c>
    </row>
    <row r="280" ht="15" customHeight="1" s="91">
      <c r="A280" s="90" t="inlineStr">
        <is>
          <t>Pitt Katz|4</t>
        </is>
      </c>
      <c r="B280" s="90" t="inlineStr">
        <is>
          <t>Pitt Katz</t>
        </is>
      </c>
      <c r="C280" s="90" t="inlineStr">
        <is>
          <t>Business Analytics &amp; Operations (BAO)</t>
        </is>
      </c>
      <c r="D280" s="90" t="n">
        <v>9</v>
      </c>
      <c r="E280" s="90" t="n"/>
    </row>
    <row r="281" ht="15" customHeight="1" s="91">
      <c r="A281" s="90" t="inlineStr">
        <is>
          <t>Pitt Katz|5</t>
        </is>
      </c>
      <c r="B281" s="90" t="inlineStr">
        <is>
          <t>Pitt Katz</t>
        </is>
      </c>
      <c r="C281" s="90" t="inlineStr">
        <is>
          <t>Strategic Management</t>
        </is>
      </c>
      <c r="D281" s="90" t="n">
        <v>8</v>
      </c>
      <c r="E281" s="90" t="inlineStr">
        <is>
          <t>https://business.pitt.edu/academics/</t>
        </is>
      </c>
    </row>
    <row r="282" ht="15" customHeight="1" s="91">
      <c r="A282" s="90" t="inlineStr">
        <is>
          <t>Pitt Katz|6</t>
        </is>
      </c>
      <c r="B282" s="90" t="inlineStr">
        <is>
          <t>Pitt Katz</t>
        </is>
      </c>
      <c r="C282" s="90" t="inlineStr">
        <is>
          <t>Marketing</t>
        </is>
      </c>
      <c r="D282" s="90" t="n">
        <v>7</v>
      </c>
      <c r="E282" s="90" t="inlineStr">
        <is>
          <t>https://business.pitt.edu/academics/</t>
        </is>
      </c>
    </row>
    <row r="283" ht="15" customHeight="1" s="91">
      <c r="A283" s="90" t="inlineStr">
        <is>
          <t>Pitt Katz|7</t>
        </is>
      </c>
      <c r="B283" s="90" t="inlineStr">
        <is>
          <t>Pitt Katz</t>
        </is>
      </c>
      <c r="C283" s="90" t="inlineStr">
        <is>
          <t>Organizational Behavior &amp; Human Resources</t>
        </is>
      </c>
      <c r="D283" s="90" t="n">
        <v>7</v>
      </c>
      <c r="E283" s="90" t="inlineStr">
        <is>
          <t>https://business.pitt.edu/academics/</t>
        </is>
      </c>
    </row>
    <row r="284" ht="15" customHeight="1" s="91">
      <c r="A284" s="90" t="inlineStr">
        <is>
          <t>Pitt Katz|8</t>
        </is>
      </c>
      <c r="B284" s="90" t="inlineStr">
        <is>
          <t>Pitt Katz</t>
        </is>
      </c>
      <c r="C284" s="90" t="inlineStr">
        <is>
          <t>Information Systems and Technology Management</t>
        </is>
      </c>
      <c r="D284" s="90" t="n">
        <v>6</v>
      </c>
      <c r="E284" s="90" t="inlineStr">
        <is>
          <t>https://www.business.pitt.edu/academics/information-systems-technology-management/</t>
        </is>
      </c>
    </row>
    <row r="285" ht="15" customHeight="1" s="91">
      <c r="A285" s="90" t="inlineStr">
        <is>
          <t>NEU DAmore-McKim|1</t>
        </is>
      </c>
      <c r="B285" s="90" t="inlineStr">
        <is>
          <t>NEU DAmore-McKim</t>
        </is>
      </c>
      <c r="C285" s="90" t="inlineStr">
        <is>
          <t>Finance</t>
        </is>
      </c>
      <c r="D285" s="90" t="n">
        <v>8</v>
      </c>
      <c r="E285" s="90" t="inlineStr">
        <is>
          <t>https://damore-mckim.northeastern.edu/academic-groups/</t>
        </is>
      </c>
    </row>
    <row r="286" ht="15" customHeight="1" s="91">
      <c r="A286" s="90" t="inlineStr">
        <is>
          <t>NEU DAmore-McKim|2</t>
        </is>
      </c>
      <c r="B286" s="90" t="inlineStr">
        <is>
          <t>NEU DAmore-McKim</t>
        </is>
      </c>
      <c r="C286" s="90" t="inlineStr">
        <is>
          <t>Management &amp; Organizational Development</t>
        </is>
      </c>
      <c r="D286" s="90" t="n">
        <v>7</v>
      </c>
      <c r="E286" s="90" t="inlineStr">
        <is>
          <t>https://damore-mckim.northeastern.edu/academic-groups/</t>
        </is>
      </c>
    </row>
    <row r="287" ht="15" customHeight="1" s="91">
      <c r="A287" s="90" t="inlineStr">
        <is>
          <t>NEU DAmore-McKim|3</t>
        </is>
      </c>
      <c r="B287" s="90" t="inlineStr">
        <is>
          <t>NEU DAmore-McKim</t>
        </is>
      </c>
      <c r="C287" s="90" t="inlineStr">
        <is>
          <t>Supply Chain &amp; Information Management (Academic Group)</t>
        </is>
      </c>
      <c r="D287" s="90" t="n">
        <v>7</v>
      </c>
      <c r="E287" s="90" t="inlineStr">
        <is>
          <t>https://damore-mckim.northeastern.edu/supply-chain/</t>
        </is>
      </c>
    </row>
    <row r="288" ht="15" customHeight="1" s="91">
      <c r="A288" s="90" t="inlineStr">
        <is>
          <t>NEU DAmore-McKim|4</t>
        </is>
      </c>
      <c r="B288" s="90" t="inlineStr">
        <is>
          <t>NEU DAmore-McKim</t>
        </is>
      </c>
      <c r="C288" s="90" t="inlineStr">
        <is>
          <t>Accounting</t>
        </is>
      </c>
      <c r="D288" s="90" t="n">
        <v>6</v>
      </c>
      <c r="E288" s="90" t="inlineStr">
        <is>
          <t>https://damore-mckim.northeastern.edu/academic-groups/</t>
        </is>
      </c>
    </row>
    <row r="289" ht="15" customHeight="1" s="91">
      <c r="A289" s="90" t="inlineStr">
        <is>
          <t>NEU DAmore-McKim|5</t>
        </is>
      </c>
      <c r="B289" s="90" t="inlineStr">
        <is>
          <t>NEU DAmore-McKim</t>
        </is>
      </c>
      <c r="C289" s="90" t="inlineStr">
        <is>
          <t>Economics</t>
        </is>
      </c>
      <c r="D289" s="90" t="n">
        <v>6</v>
      </c>
      <c r="E289" s="90" t="inlineStr">
        <is>
          <t>https://damore-mckim.northeastern.edu/academic-groups/</t>
        </is>
      </c>
    </row>
    <row r="290" ht="15" customHeight="1" s="91">
      <c r="A290" s="90" t="inlineStr">
        <is>
          <t>NEU DAmore-McKim|6</t>
        </is>
      </c>
      <c r="B290" s="90" t="inlineStr">
        <is>
          <t>NEU DAmore-McKim</t>
        </is>
      </c>
      <c r="C290" s="90" t="inlineStr">
        <is>
          <t>Supply Chain &amp; Information Management (Academic Group)</t>
        </is>
      </c>
      <c r="D290" s="90" t="n">
        <v>6</v>
      </c>
      <c r="E290" s="90" t="inlineStr">
        <is>
          <t>https://damore-mckim.northeastern.edu/supply-chain/</t>
        </is>
      </c>
    </row>
    <row r="291" ht="15" customHeight="1" s="91">
      <c r="A291" s="90" t="inlineStr">
        <is>
          <t>NEU DAmore-McKim|7</t>
        </is>
      </c>
      <c r="B291" s="90" t="inlineStr">
        <is>
          <t>NEU DAmore-McKim</t>
        </is>
      </c>
      <c r="C291" s="90" t="inlineStr">
        <is>
          <t>Marketing</t>
        </is>
      </c>
      <c r="D291" s="90" t="n">
        <v>6</v>
      </c>
      <c r="E291" s="90" t="inlineStr">
        <is>
          <t>https://damore-mckim.northeastern.edu/academic-groups/</t>
        </is>
      </c>
    </row>
    <row r="292" ht="15" customHeight="1" s="91">
      <c r="A292" s="90" t="inlineStr">
        <is>
          <t>Tulane Freeman|1</t>
        </is>
      </c>
      <c r="B292" s="90" t="inlineStr">
        <is>
          <t>Tulane Freeman</t>
        </is>
      </c>
      <c r="C292" s="90" t="inlineStr">
        <is>
          <t>Finance</t>
        </is>
      </c>
      <c r="D292" s="90" t="n">
        <v>18</v>
      </c>
      <c r="E292" s="90" t="inlineStr">
        <is>
          <t>https://freeman.tulane.edu/faculty-research/finance</t>
        </is>
      </c>
    </row>
    <row r="293" ht="15" customHeight="1" s="91">
      <c r="A293" s="90" t="inlineStr">
        <is>
          <t>Tulane Freeman|2</t>
        </is>
      </c>
      <c r="B293" s="90" t="inlineStr">
        <is>
          <t>Tulane Freeman</t>
        </is>
      </c>
      <c r="C293" s="90" t="inlineStr">
        <is>
          <t>Management</t>
        </is>
      </c>
      <c r="D293" s="90" t="n">
        <v>13</v>
      </c>
      <c r="E293" s="90" t="inlineStr">
        <is>
          <t>https://freeman.tulane.edu/faculty-research/management</t>
        </is>
      </c>
    </row>
    <row r="294" ht="15" customHeight="1" s="91">
      <c r="A294" s="90" t="inlineStr">
        <is>
          <t>Tulane Freeman|3</t>
        </is>
      </c>
      <c r="B294" s="90" t="inlineStr">
        <is>
          <t>Tulane Freeman</t>
        </is>
      </c>
      <c r="C294" s="90" t="inlineStr">
        <is>
          <t>Accounting</t>
        </is>
      </c>
      <c r="D294" s="90" t="n">
        <v>9</v>
      </c>
      <c r="E294" s="90" t="inlineStr">
        <is>
          <t>https://freeman.tulane.edu/faculty-research/accounting</t>
        </is>
      </c>
    </row>
    <row r="295" ht="15" customHeight="1" s="91">
      <c r="A295" s="90" t="inlineStr">
        <is>
          <t>Tulane Freeman|4</t>
        </is>
      </c>
      <c r="B295" s="90" t="inlineStr">
        <is>
          <t>Tulane Freeman</t>
        </is>
      </c>
      <c r="C295" s="90" t="inlineStr">
        <is>
          <t>Marketing</t>
        </is>
      </c>
      <c r="D295" s="90" t="n">
        <v>8</v>
      </c>
      <c r="E295" s="90" t="inlineStr">
        <is>
          <t>https://freeman.tulane.edu/faculty-research/marketing</t>
        </is>
      </c>
    </row>
    <row r="296" ht="15" customHeight="1" s="91">
      <c r="A296" s="90" t="inlineStr">
        <is>
          <t>Iowa Tippie|1</t>
        </is>
      </c>
      <c r="B296" s="90" t="inlineStr">
        <is>
          <t>Iowa Tippie</t>
        </is>
      </c>
      <c r="C296" s="90" t="inlineStr">
        <is>
          <t>Finance</t>
        </is>
      </c>
      <c r="D296" s="90" t="n">
        <v>8</v>
      </c>
      <c r="E296" s="90" t="inlineStr">
        <is>
          <t>https://tippie.uiowa.edu/about/finance-department</t>
        </is>
      </c>
    </row>
    <row r="297" ht="15" customHeight="1" s="91">
      <c r="A297" s="90" t="inlineStr">
        <is>
          <t>Iowa Tippie|2</t>
        </is>
      </c>
      <c r="B297" s="90" t="inlineStr">
        <is>
          <t>Iowa Tippie</t>
        </is>
      </c>
      <c r="C297" s="90" t="inlineStr">
        <is>
          <t>Accounting</t>
        </is>
      </c>
      <c r="D297" s="90" t="n">
        <v>7</v>
      </c>
      <c r="E297" s="90" t="inlineStr">
        <is>
          <t>https://tippie.uiowa.edu/about/accounting-department</t>
        </is>
      </c>
    </row>
    <row r="298" ht="15" customHeight="1" s="91">
      <c r="A298" s="90" t="inlineStr">
        <is>
          <t>Iowa Tippie|3</t>
        </is>
      </c>
      <c r="B298" s="90" t="inlineStr">
        <is>
          <t>Iowa Tippie</t>
        </is>
      </c>
      <c r="C298" s="90" t="inlineStr">
        <is>
          <t>Business Analytics</t>
        </is>
      </c>
      <c r="D298" s="90" t="n">
        <v>7</v>
      </c>
      <c r="E298" s="90" t="inlineStr">
        <is>
          <t>https://tippie.uiowa.edu/about/business-analytics-department</t>
        </is>
      </c>
    </row>
    <row r="299" ht="15" customHeight="1" s="91">
      <c r="A299" s="90" t="inlineStr">
        <is>
          <t>Iowa Tippie|4</t>
        </is>
      </c>
      <c r="B299" s="90" t="inlineStr">
        <is>
          <t>Iowa Tippie</t>
        </is>
      </c>
      <c r="C299" s="90" t="inlineStr">
        <is>
          <t>Economics</t>
        </is>
      </c>
      <c r="D299" s="90" t="n">
        <v>7</v>
      </c>
      <c r="E299" s="90" t="inlineStr">
        <is>
          <t>https://tippie.uiowa.edu/about/economics-department</t>
        </is>
      </c>
    </row>
    <row r="300" ht="15" customHeight="1" s="91">
      <c r="A300" s="90" t="inlineStr">
        <is>
          <t>Iowa Tippie|5</t>
        </is>
      </c>
      <c r="B300" s="90" t="inlineStr">
        <is>
          <t>Iowa Tippie</t>
        </is>
      </c>
      <c r="C300" s="90" t="inlineStr">
        <is>
          <t>Management &amp; Entrepreneurship</t>
        </is>
      </c>
      <c r="D300" s="90" t="n">
        <v>7</v>
      </c>
      <c r="E300" s="90" t="inlineStr">
        <is>
          <t>https://tippie.uiowa.edu/about/management-and-entrepreneurship-department</t>
        </is>
      </c>
    </row>
    <row r="301" ht="15" customHeight="1" s="91">
      <c r="A301" s="90" t="inlineStr">
        <is>
          <t>Iowa Tippie|6</t>
        </is>
      </c>
      <c r="B301" s="90" t="inlineStr">
        <is>
          <t>Iowa Tippie</t>
        </is>
      </c>
      <c r="C301" s="90" t="inlineStr">
        <is>
          <t>Marketing</t>
        </is>
      </c>
      <c r="D301" s="90" t="n">
        <v>7</v>
      </c>
      <c r="E301" s="90" t="inlineStr">
        <is>
          <t>https://tippie.uiowa.edu/about/marketing-department</t>
        </is>
      </c>
    </row>
    <row r="302" ht="15" customHeight="1" s="91">
      <c r="A302" s="90" t="inlineStr">
        <is>
          <t>GWU GWSB|1</t>
        </is>
      </c>
      <c r="B302" s="90" t="inlineStr">
        <is>
          <t>GWU GWSB</t>
        </is>
      </c>
      <c r="C302" s="90" t="inlineStr">
        <is>
          <t>Finance</t>
        </is>
      </c>
      <c r="D302" s="90" t="n">
        <v>13</v>
      </c>
      <c r="E302" s="90" t="inlineStr">
        <is>
          <t>https://business.gwu.edu/academics/departments</t>
        </is>
      </c>
    </row>
    <row r="303" ht="15" customHeight="1" s="91">
      <c r="A303" s="90" t="inlineStr">
        <is>
          <t>GWU GWSB|2</t>
        </is>
      </c>
      <c r="B303" s="90" t="inlineStr">
        <is>
          <t>GWU GWSB</t>
        </is>
      </c>
      <c r="C303" s="90" t="inlineStr">
        <is>
          <t>Marketing</t>
        </is>
      </c>
      <c r="D303" s="90" t="n">
        <v>11</v>
      </c>
      <c r="E303" s="90" t="inlineStr">
        <is>
          <t>https://business.gwu.edu/academics/departments</t>
        </is>
      </c>
    </row>
    <row r="304" ht="15" customHeight="1" s="91">
      <c r="A304" s="90" t="inlineStr">
        <is>
          <t>GWU GWSB|3</t>
        </is>
      </c>
      <c r="B304" s="90" t="inlineStr">
        <is>
          <t>GWU GWSB</t>
        </is>
      </c>
      <c r="C304" s="90" t="inlineStr">
        <is>
          <t>Accountancy</t>
        </is>
      </c>
      <c r="D304" s="90" t="n">
        <v>10</v>
      </c>
      <c r="E304" s="90" t="inlineStr">
        <is>
          <t>https://business.gwu.edu/academics/departments</t>
        </is>
      </c>
    </row>
    <row r="305" ht="15" customHeight="1" s="91">
      <c r="A305" s="90" t="inlineStr">
        <is>
          <t>GWU GWSB|4</t>
        </is>
      </c>
      <c r="B305" s="90" t="inlineStr">
        <is>
          <t>GWU GWSB</t>
        </is>
      </c>
      <c r="C305" s="90" t="inlineStr">
        <is>
          <t>Decision Sciences</t>
        </is>
      </c>
      <c r="D305" s="90" t="n">
        <v>10</v>
      </c>
      <c r="E305" s="90" t="inlineStr">
        <is>
          <t>https://business.gwu.edu/academics/departments/decision-sciences</t>
        </is>
      </c>
    </row>
    <row r="306" ht="15" customHeight="1" s="91">
      <c r="A306" s="90" t="inlineStr">
        <is>
          <t>GWU GWSB|5</t>
        </is>
      </c>
      <c r="B306" s="90" t="inlineStr">
        <is>
          <t>GWU GWSB</t>
        </is>
      </c>
      <c r="C306" s="90" t="inlineStr">
        <is>
          <t>International Business</t>
        </is>
      </c>
      <c r="D306" s="90" t="n">
        <v>10</v>
      </c>
      <c r="E306" s="90" t="inlineStr">
        <is>
          <t>https://business.gwu.edu/academics/departments</t>
        </is>
      </c>
    </row>
    <row r="307" ht="15" customHeight="1" s="91">
      <c r="A307" s="90" t="inlineStr">
        <is>
          <t>GWU GWSB|6</t>
        </is>
      </c>
      <c r="B307" s="90" t="inlineStr">
        <is>
          <t>GWU GWSB</t>
        </is>
      </c>
      <c r="C307" s="90" t="inlineStr">
        <is>
          <t>Management</t>
        </is>
      </c>
      <c r="D307" s="90" t="n">
        <v>10</v>
      </c>
      <c r="E307" s="90" t="inlineStr">
        <is>
          <t>https://business.gwu.edu/academics/departments</t>
        </is>
      </c>
    </row>
    <row r="308" ht="15" customHeight="1" s="91">
      <c r="A308" s="90" t="inlineStr">
        <is>
          <t>GWU GWSB|7</t>
        </is>
      </c>
      <c r="B308" s="90" t="inlineStr">
        <is>
          <t>GWU GWSB</t>
        </is>
      </c>
      <c r="C308" s="90" t="inlineStr">
        <is>
          <t>Strategic Management &amp; Public Policy</t>
        </is>
      </c>
      <c r="D308" s="90" t="n">
        <v>10</v>
      </c>
      <c r="E308" s="90" t="inlineStr">
        <is>
          <t>https://business.gwu.edu/academics/departments</t>
        </is>
      </c>
    </row>
    <row r="309" ht="15" customHeight="1" s="91">
      <c r="A309" s="90" t="inlineStr">
        <is>
          <t>GWU GWSB|8</t>
        </is>
      </c>
      <c r="B309" s="90" t="inlineStr">
        <is>
          <t>GWU GWSB</t>
        </is>
      </c>
      <c r="C309" s="90" t="inlineStr">
        <is>
          <t>Information Systems &amp; Technology Management</t>
        </is>
      </c>
      <c r="D309" s="90" t="n">
        <v>9</v>
      </c>
      <c r="E309" s="90" t="inlineStr">
        <is>
          <t>https://business.gwu.edu/academics/departments/information-systems-technology-management</t>
        </is>
      </c>
    </row>
    <row r="310" ht="15" customHeight="1" s="91">
      <c r="A310" s="90" t="inlineStr">
        <is>
          <t>BYU Marriott|1</t>
        </is>
      </c>
      <c r="B310" s="90" t="inlineStr">
        <is>
          <t>BYU Marriott</t>
        </is>
      </c>
      <c r="C310" s="90" t="inlineStr">
        <is>
          <t>Business Management</t>
        </is>
      </c>
      <c r="D310" s="90" t="n">
        <v>27</v>
      </c>
      <c r="E310" s="90" t="inlineStr">
        <is>
          <t>https://marriott.byu.edu/directory/departmental/</t>
        </is>
      </c>
    </row>
    <row r="311" ht="15" customHeight="1" s="91">
      <c r="A311" s="90" t="inlineStr">
        <is>
          <t>BYU Marriott|2</t>
        </is>
      </c>
      <c r="B311" s="90" t="inlineStr">
        <is>
          <t>BYU Marriott</t>
        </is>
      </c>
      <c r="C311" s="90" t="inlineStr">
        <is>
          <t>Accountancy</t>
        </is>
      </c>
      <c r="D311" s="90" t="n">
        <v>23</v>
      </c>
      <c r="E311" s="90" t="inlineStr">
        <is>
          <t>https://marriott.byu.edu/directory/departmental/</t>
        </is>
      </c>
    </row>
    <row r="312" ht="15" customHeight="1" s="91">
      <c r="A312" s="90" t="inlineStr">
        <is>
          <t>BYU Marriott|3</t>
        </is>
      </c>
      <c r="B312" s="90" t="inlineStr">
        <is>
          <t>BYU Marriott</t>
        </is>
      </c>
      <c r="C312" s="90" t="inlineStr">
        <is>
          <t>Finance</t>
        </is>
      </c>
      <c r="D312" s="90" t="n">
        <v>21</v>
      </c>
      <c r="E312" s="90" t="inlineStr">
        <is>
          <t>https://marriott.byu.edu/directory/departmental/</t>
        </is>
      </c>
    </row>
    <row r="313" ht="15" customHeight="1" s="91">
      <c r="A313" s="90" t="inlineStr">
        <is>
          <t>BYU Marriott|4</t>
        </is>
      </c>
      <c r="B313" s="90" t="inlineStr">
        <is>
          <t>BYU Marriott</t>
        </is>
      </c>
      <c r="C313" s="90" t="inlineStr">
        <is>
          <t>Global Supply Chain Management</t>
        </is>
      </c>
      <c r="D313" s="90" t="n">
        <v>20</v>
      </c>
      <c r="E313" s="90" t="inlineStr">
        <is>
          <t>https://marriott.byu.edu/gscm/</t>
        </is>
      </c>
    </row>
    <row r="314" ht="15" customHeight="1" s="91">
      <c r="A314" s="90" t="inlineStr">
        <is>
          <t>BYU Marriott|5</t>
        </is>
      </c>
      <c r="B314" s="90" t="inlineStr">
        <is>
          <t>BYU Marriott</t>
        </is>
      </c>
      <c r="C314" s="90" t="inlineStr">
        <is>
          <t>Information Systems</t>
        </is>
      </c>
      <c r="D314" s="90" t="n">
        <v>15</v>
      </c>
      <c r="E314" s="90" t="inlineStr">
        <is>
          <t>https://marriott.byu.edu/infosys/</t>
        </is>
      </c>
    </row>
    <row r="315" ht="15" customHeight="1" s="91">
      <c r="A315" s="90" t="inlineStr">
        <is>
          <t>BYU Marriott|6</t>
        </is>
      </c>
      <c r="B315" s="90" t="inlineStr">
        <is>
          <t>BYU Marriott</t>
        </is>
      </c>
      <c r="C315" s="90" t="inlineStr">
        <is>
          <t>Experience Design &amp; Management</t>
        </is>
      </c>
      <c r="D315" s="90" t="n">
        <v>8</v>
      </c>
      <c r="E315" s="90" t="inlineStr">
        <is>
          <t>https://marriott.byu.edu/directory/departmental/</t>
        </is>
      </c>
    </row>
    <row r="316" ht="15" customHeight="1" s="91">
      <c r="A316" s="90" t="inlineStr">
        <is>
          <t>BYU Marriott|7</t>
        </is>
      </c>
      <c r="B316" s="90" t="inlineStr">
        <is>
          <t>BYU Marriott</t>
        </is>
      </c>
      <c r="C316" s="90" t="inlineStr">
        <is>
          <t>Organizational Leadership &amp; Strategy</t>
        </is>
      </c>
      <c r="D316" s="90" t="n">
        <v>8</v>
      </c>
      <c r="E316" s="90" t="inlineStr">
        <is>
          <t>https://marriott.byu.edu/directory/departmental/</t>
        </is>
      </c>
    </row>
    <row r="317" ht="15" customHeight="1" s="91">
      <c r="A317" s="90" t="inlineStr">
        <is>
          <t>BYU Marriott|8</t>
        </is>
      </c>
      <c r="B317" s="90" t="inlineStr">
        <is>
          <t>BYU Marriott</t>
        </is>
      </c>
      <c r="C317" s="90" t="inlineStr">
        <is>
          <t>Marketing</t>
        </is>
      </c>
      <c r="D317" s="90" t="n">
        <v>7</v>
      </c>
      <c r="E317" s="90" t="inlineStr">
        <is>
          <t>https://marriott.byu.edu/directory/departmental/</t>
        </is>
      </c>
    </row>
    <row r="318" ht="15" customHeight="1" s="91">
      <c r="A318" s="90" t="inlineStr">
        <is>
          <t>Rochester Simon|1</t>
        </is>
      </c>
      <c r="B318" s="90" t="inlineStr">
        <is>
          <t>Rochester Simon</t>
        </is>
      </c>
      <c r="C318" s="90" t="inlineStr">
        <is>
          <t>Finance</t>
        </is>
      </c>
      <c r="D318" s="90" t="n">
        <v>10</v>
      </c>
      <c r="E318" s="90" t="inlineStr">
        <is>
          <t>https://simon.rochester.edu/faculty-research/</t>
        </is>
      </c>
    </row>
    <row r="319" ht="15" customHeight="1" s="91">
      <c r="A319" s="90" t="inlineStr">
        <is>
          <t>Rochester Simon|2</t>
        </is>
      </c>
      <c r="B319" s="90" t="inlineStr">
        <is>
          <t>Rochester Simon</t>
        </is>
      </c>
      <c r="C319" s="90" t="inlineStr">
        <is>
          <t>Economics &amp; Management</t>
        </is>
      </c>
      <c r="D319" s="90" t="n">
        <v>9</v>
      </c>
      <c r="E319" s="90" t="inlineStr">
        <is>
          <t>https://simon.rochester.edu/faculty-research/</t>
        </is>
      </c>
    </row>
    <row r="320" ht="15" customHeight="1" s="91">
      <c r="A320" s="90" t="inlineStr">
        <is>
          <t>Rochester Simon|3</t>
        </is>
      </c>
      <c r="B320" s="90" t="inlineStr">
        <is>
          <t>Rochester Simon</t>
        </is>
      </c>
      <c r="C320" s="90" t="inlineStr">
        <is>
          <t>Accounting</t>
        </is>
      </c>
      <c r="D320" s="90" t="n">
        <v>8</v>
      </c>
      <c r="E320" s="90" t="inlineStr">
        <is>
          <t>https://simon.rochester.edu/faculty-research/</t>
        </is>
      </c>
    </row>
    <row r="321" ht="15" customHeight="1" s="91">
      <c r="A321" s="90" t="inlineStr">
        <is>
          <t>Rochester Simon|4</t>
        </is>
      </c>
      <c r="B321" s="90" t="inlineStr">
        <is>
          <t>Rochester Simon</t>
        </is>
      </c>
      <c r="C321" s="90" t="inlineStr">
        <is>
          <t>Marketing</t>
        </is>
      </c>
      <c r="D321" s="90" t="n">
        <v>8</v>
      </c>
      <c r="E321" s="90" t="inlineStr">
        <is>
          <t>https://simon.rochester.edu/faculty-research/</t>
        </is>
      </c>
    </row>
    <row r="322" ht="15" customHeight="1" s="91">
      <c r="A322" s="90" t="inlineStr">
        <is>
          <t>Rochester Simon|5</t>
        </is>
      </c>
      <c r="B322" s="90" t="inlineStr">
        <is>
          <t>Rochester Simon</t>
        </is>
      </c>
      <c r="C322" s="90" t="inlineStr">
        <is>
          <t>Operations Management</t>
        </is>
      </c>
      <c r="D322" s="90" t="n">
        <v>8</v>
      </c>
      <c r="E322" s="90" t="inlineStr">
        <is>
          <t>https://simon.rochester.edu/faculty-research/academic-areas/operations-management</t>
        </is>
      </c>
    </row>
    <row r="323" ht="15" customHeight="1" s="91">
      <c r="A323" s="90" t="inlineStr">
        <is>
          <t>Wake Forest SoB|1</t>
        </is>
      </c>
      <c r="B323" s="90" t="inlineStr">
        <is>
          <t>Wake Forest SoB</t>
        </is>
      </c>
      <c r="C323" s="90" t="inlineStr">
        <is>
          <t>Finance &amp; Economics</t>
        </is>
      </c>
      <c r="D323" s="90" t="n">
        <v>15</v>
      </c>
      <c r="E323" s="90" t="inlineStr">
        <is>
          <t>https://business.wfu.edu/directory/?department=finance-and-economics</t>
        </is>
      </c>
    </row>
    <row r="324" ht="15" customHeight="1" s="91">
      <c r="A324" s="90" t="inlineStr">
        <is>
          <t>Wake Forest SoB|2</t>
        </is>
      </c>
      <c r="B324" s="90" t="inlineStr">
        <is>
          <t>Wake Forest SoB</t>
        </is>
      </c>
      <c r="C324" s="90" t="inlineStr">
        <is>
          <t>Management</t>
        </is>
      </c>
      <c r="D324" s="90" t="n">
        <v>12</v>
      </c>
      <c r="E324" s="90" t="inlineStr">
        <is>
          <t>https://business.wfu.edu/directory/?department=management</t>
        </is>
      </c>
    </row>
    <row r="325" ht="15" customHeight="1" s="91">
      <c r="A325" s="90" t="inlineStr">
        <is>
          <t>Wake Forest SoB|3</t>
        </is>
      </c>
      <c r="B325" s="90" t="inlineStr">
        <is>
          <t>Wake Forest SoB</t>
        </is>
      </c>
      <c r="C325" s="90" t="inlineStr">
        <is>
          <t>Analytics, Information Systems, Marketing &amp; Operations Management</t>
        </is>
      </c>
      <c r="D325" s="90" t="n">
        <v>12</v>
      </c>
      <c r="E325" s="90" t="inlineStr">
        <is>
          <t>https://business.wakeforest.edu/expert-faculty-research/faculty-and-academic-centers/</t>
        </is>
      </c>
    </row>
    <row r="326" ht="15" customHeight="1" s="91">
      <c r="A326" s="90" t="inlineStr">
        <is>
          <t>Wake Forest SoB|4</t>
        </is>
      </c>
      <c r="B326" s="90" t="inlineStr">
        <is>
          <t>Wake Forest SoB</t>
        </is>
      </c>
      <c r="C326" s="90" t="inlineStr">
        <is>
          <t>Analytics, IS, Marketing &amp; OM (AISMOM)</t>
        </is>
      </c>
      <c r="D326" s="90" t="n">
        <v>12</v>
      </c>
      <c r="E326" s="90" t="n"/>
    </row>
    <row r="327" ht="15" customHeight="1" s="91">
      <c r="A327" s="90" t="inlineStr">
        <is>
          <t>Wake Forest SoB|5</t>
        </is>
      </c>
      <c r="B327" s="90" t="inlineStr">
        <is>
          <t>Wake Forest SoB</t>
        </is>
      </c>
      <c r="C327" s="90" t="inlineStr">
        <is>
          <t>Accountancy</t>
        </is>
      </c>
      <c r="D327" s="90" t="n">
        <v>11</v>
      </c>
      <c r="E327" s="90" t="inlineStr">
        <is>
          <t>https://business.wfu.edu/directory/?department=accountancy</t>
        </is>
      </c>
    </row>
    <row r="328" ht="15" customHeight="1" s="91">
      <c r="A328" s="90" t="inlineStr">
        <is>
          <t>Temple Fox|1</t>
        </is>
      </c>
      <c r="B328" s="90" t="inlineStr">
        <is>
          <t>Temple Fox</t>
        </is>
      </c>
      <c r="C328" s="90" t="inlineStr">
        <is>
          <t>Finance</t>
        </is>
      </c>
      <c r="D328" s="90" t="n">
        <v>11</v>
      </c>
      <c r="E328" s="90" t="inlineStr">
        <is>
          <t>https://fox.temple.edu/faculty-research/academic-areas</t>
        </is>
      </c>
    </row>
    <row r="329" ht="15" customHeight="1" s="91">
      <c r="A329" s="90" t="inlineStr">
        <is>
          <t>Temple Fox|2</t>
        </is>
      </c>
      <c r="B329" s="90" t="inlineStr">
        <is>
          <t>Temple Fox</t>
        </is>
      </c>
      <c r="C329" s="90" t="inlineStr">
        <is>
          <t>Human Resource Management</t>
        </is>
      </c>
      <c r="D329" s="90" t="n">
        <v>9</v>
      </c>
      <c r="E329" s="90" t="inlineStr">
        <is>
          <t>https://fox.temple.edu/faculty-research/academic-areas</t>
        </is>
      </c>
    </row>
    <row r="330" ht="15" customHeight="1" s="91">
      <c r="A330" s="90" t="inlineStr">
        <is>
          <t>Temple Fox|3</t>
        </is>
      </c>
      <c r="B330" s="90" t="inlineStr">
        <is>
          <t>Temple Fox</t>
        </is>
      </c>
      <c r="C330" s="90" t="inlineStr">
        <is>
          <t>Management Information Systems</t>
        </is>
      </c>
      <c r="D330" s="90" t="n">
        <v>9</v>
      </c>
      <c r="E330" s="90" t="inlineStr">
        <is>
          <t>https://www.fox.temple.edu/faculty-research/academic-areas/management-information-systems</t>
        </is>
      </c>
    </row>
    <row r="331" ht="15" customHeight="1" s="91">
      <c r="A331" s="90" t="inlineStr">
        <is>
          <t>Temple Fox|4</t>
        </is>
      </c>
      <c r="B331" s="90" t="inlineStr">
        <is>
          <t>Temple Fox</t>
        </is>
      </c>
      <c r="C331" s="90" t="inlineStr">
        <is>
          <t>Marketing and Supply Chain Management</t>
        </is>
      </c>
      <c r="D331" s="90" t="n">
        <v>9</v>
      </c>
      <c r="E331" s="90" t="inlineStr">
        <is>
          <t>https://www.fox.temple.edu/departments/marketing-supply-chain-management/</t>
        </is>
      </c>
    </row>
    <row r="332" ht="15" customHeight="1" s="91">
      <c r="A332" s="90" t="inlineStr">
        <is>
          <t>Temple Fox|5</t>
        </is>
      </c>
      <c r="B332" s="90" t="inlineStr">
        <is>
          <t>Temple Fox</t>
        </is>
      </c>
      <c r="C332" s="90" t="inlineStr">
        <is>
          <t>Risk, Insurance &amp; Healthcare Management</t>
        </is>
      </c>
      <c r="D332" s="90" t="n">
        <v>9</v>
      </c>
      <c r="E332" s="90" t="inlineStr">
        <is>
          <t>https://fox.temple.edu/faculty-research/academic-areas</t>
        </is>
      </c>
    </row>
    <row r="333" ht="15" customHeight="1" s="91">
      <c r="A333" s="90" t="inlineStr">
        <is>
          <t>Temple Fox|6</t>
        </is>
      </c>
      <c r="B333" s="90" t="inlineStr">
        <is>
          <t>Temple Fox</t>
        </is>
      </c>
      <c r="C333" s="90" t="inlineStr">
        <is>
          <t>Accounting</t>
        </is>
      </c>
      <c r="D333" s="90" t="n">
        <v>8</v>
      </c>
      <c r="E333" s="90" t="inlineStr">
        <is>
          <t>https://fox.temple.edu/faculty-research/academic-areas</t>
        </is>
      </c>
    </row>
    <row r="334" ht="15" customHeight="1" s="91">
      <c r="A334" s="90" t="inlineStr">
        <is>
          <t>Temple Fox|7</t>
        </is>
      </c>
      <c r="B334" s="90" t="inlineStr">
        <is>
          <t>Temple Fox</t>
        </is>
      </c>
      <c r="C334" s="90" t="inlineStr">
        <is>
          <t>Legal Studies in Business</t>
        </is>
      </c>
      <c r="D334" s="90" t="n">
        <v>8</v>
      </c>
      <c r="E334" s="90" t="inlineStr">
        <is>
          <t>https://fox.temple.edu/faculty-research/academic-areas</t>
        </is>
      </c>
    </row>
    <row r="335" ht="15" customHeight="1" s="91">
      <c r="A335" s="90" t="inlineStr">
        <is>
          <t>Temple Fox|8</t>
        </is>
      </c>
      <c r="B335" s="90" t="inlineStr">
        <is>
          <t>Temple Fox</t>
        </is>
      </c>
      <c r="C335" s="90" t="inlineStr">
        <is>
          <t>Statistical Science</t>
        </is>
      </c>
      <c r="D335" s="90" t="n">
        <v>8</v>
      </c>
      <c r="E335" s="90" t="inlineStr">
        <is>
          <t>https://fox.temple.edu/faculty-research/academic-areas</t>
        </is>
      </c>
    </row>
    <row r="336" ht="15" customHeight="1" s="91">
      <c r="A336" s="90" t="inlineStr">
        <is>
          <t>Temple Fox|9</t>
        </is>
      </c>
      <c r="B336" s="90" t="inlineStr">
        <is>
          <t>Temple Fox</t>
        </is>
      </c>
      <c r="C336" s="90" t="inlineStr">
        <is>
          <t>Strategic Management</t>
        </is>
      </c>
      <c r="D336" s="90" t="n">
        <v>8</v>
      </c>
      <c r="E336" s="90" t="inlineStr">
        <is>
          <t>https://fox.temple.edu/faculty-research/academic-areas</t>
        </is>
      </c>
    </row>
    <row r="337" ht="15" customHeight="1" s="91">
      <c r="A337" s="90" t="inlineStr">
        <is>
          <t>Miami Herbert|1</t>
        </is>
      </c>
      <c r="B337" s="90" t="inlineStr">
        <is>
          <t>Miami Herbert</t>
        </is>
      </c>
      <c r="C337" s="90" t="inlineStr">
        <is>
          <t>Finance</t>
        </is>
      </c>
      <c r="D337" s="90" t="n">
        <v>9</v>
      </c>
      <c r="E337" s="90" t="inlineStr">
        <is>
          <t>https://herbert.miami.edu/faculty-research/academic-departments/</t>
        </is>
      </c>
    </row>
    <row r="338" ht="15" customHeight="1" s="91">
      <c r="A338" s="90" t="inlineStr">
        <is>
          <t>Miami Herbert|2</t>
        </is>
      </c>
      <c r="B338" s="90" t="inlineStr">
        <is>
          <t>Miami Herbert</t>
        </is>
      </c>
      <c r="C338" s="90" t="inlineStr">
        <is>
          <t>Management</t>
        </is>
      </c>
      <c r="D338" s="90" t="n">
        <v>8</v>
      </c>
      <c r="E338" s="90" t="inlineStr">
        <is>
          <t>https://herbert.miami.edu/faculty-research/academic-departments/</t>
        </is>
      </c>
    </row>
    <row r="339" ht="15" customHeight="1" s="91">
      <c r="A339" s="90" t="inlineStr">
        <is>
          <t>Miami Herbert|3</t>
        </is>
      </c>
      <c r="B339" s="90" t="inlineStr">
        <is>
          <t>Miami Herbert</t>
        </is>
      </c>
      <c r="C339" s="90" t="inlineStr">
        <is>
          <t>Management Science</t>
        </is>
      </c>
      <c r="D339" s="90" t="n">
        <v>8</v>
      </c>
      <c r="E339" s="90" t="inlineStr">
        <is>
          <t>https://www.herbert.miami.edu/faculty-research/academic-departments/management-science/</t>
        </is>
      </c>
    </row>
    <row r="340" ht="15" customHeight="1" s="91">
      <c r="A340" s="90" t="inlineStr">
        <is>
          <t>Miami Herbert|4</t>
        </is>
      </c>
      <c r="B340" s="90" t="inlineStr">
        <is>
          <t>Miami Herbert</t>
        </is>
      </c>
      <c r="C340" s="90" t="inlineStr">
        <is>
          <t>Marketing</t>
        </is>
      </c>
      <c r="D340" s="90" t="n">
        <v>8</v>
      </c>
      <c r="E340" s="90" t="inlineStr">
        <is>
          <t>https://herbert.miami.edu/faculty-research/academic-departments/</t>
        </is>
      </c>
    </row>
    <row r="341" ht="15" customHeight="1" s="91">
      <c r="A341" s="90" t="inlineStr">
        <is>
          <t>Miami Herbert|5</t>
        </is>
      </c>
      <c r="B341" s="90" t="inlineStr">
        <is>
          <t>Miami Herbert</t>
        </is>
      </c>
      <c r="C341" s="90" t="inlineStr">
        <is>
          <t>Accounting</t>
        </is>
      </c>
      <c r="D341" s="90" t="n">
        <v>7</v>
      </c>
      <c r="E341" s="90" t="inlineStr">
        <is>
          <t>https://herbert.miami.edu/faculty-research/academic-departments/</t>
        </is>
      </c>
    </row>
    <row r="342" ht="15" customHeight="1" s="91">
      <c r="A342" s="90" t="inlineStr">
        <is>
          <t>Miami Herbert|6</t>
        </is>
      </c>
      <c r="B342" s="90" t="inlineStr">
        <is>
          <t>Miami Herbert</t>
        </is>
      </c>
      <c r="C342" s="90" t="inlineStr">
        <is>
          <t>Business Law</t>
        </is>
      </c>
      <c r="D342" s="90" t="n">
        <v>7</v>
      </c>
      <c r="E342" s="90" t="inlineStr">
        <is>
          <t>https://herbert.miami.edu/faculty-research/academic-departments/</t>
        </is>
      </c>
    </row>
    <row r="343" ht="15" customHeight="1" s="91">
      <c r="A343" s="90" t="inlineStr">
        <is>
          <t>Miami Herbert|7</t>
        </is>
      </c>
      <c r="B343" s="90" t="inlineStr">
        <is>
          <t>Miami Herbert</t>
        </is>
      </c>
      <c r="C343" s="90" t="inlineStr">
        <is>
          <t>Business Technology</t>
        </is>
      </c>
      <c r="D343" s="90" t="n">
        <v>7</v>
      </c>
      <c r="E343" s="90" t="inlineStr">
        <is>
          <t>https://www.herbert.miami.edu/faculty-research/academic-departments/business-technology/</t>
        </is>
      </c>
    </row>
    <row r="344" ht="15" customHeight="1" s="91">
      <c r="A344" s="90" t="inlineStr">
        <is>
          <t>Miami Herbert|8</t>
        </is>
      </c>
      <c r="B344" s="90" t="inlineStr">
        <is>
          <t>Miami Herbert</t>
        </is>
      </c>
      <c r="C344" s="90" t="inlineStr">
        <is>
          <t>Economics</t>
        </is>
      </c>
      <c r="D344" s="90" t="n">
        <v>7</v>
      </c>
      <c r="E344" s="90" t="inlineStr">
        <is>
          <t>https://herbert.miami.edu/faculty-research/academic-departments/</t>
        </is>
      </c>
    </row>
    <row r="345" ht="15" customHeight="1" s="91">
      <c r="A345" s="90" t="inlineStr">
        <is>
          <t>Georgetown McDonough|1</t>
        </is>
      </c>
      <c r="B345" s="90" t="inlineStr">
        <is>
          <t>Georgetown McDonough</t>
        </is>
      </c>
      <c r="C345" s="90" t="inlineStr">
        <is>
          <t>Operations &amp; Analytics (OPAN)</t>
        </is>
      </c>
      <c r="D345" s="90" t="n">
        <v>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3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5" customWidth="1" style="90" min="1" max="1"/>
    <col width="45" customWidth="1" style="90" min="2" max="2"/>
    <col width="12" customWidth="1" style="90" min="3" max="3"/>
    <col width="14" customWidth="1" style="90" min="4" max="6"/>
    <col width="80" customWidth="1" style="90" min="7" max="7"/>
  </cols>
  <sheetData>
    <row r="1" ht="15" customHeight="1" s="91">
      <c r="A1" s="168" t="inlineStr">
        <is>
          <t>School</t>
        </is>
      </c>
      <c r="B1" s="168" t="inlineStr">
        <is>
          <t>Department</t>
        </is>
      </c>
      <c r="C1" s="168" t="inlineStr">
        <is>
          <t>v13 Count</t>
        </is>
      </c>
      <c r="D1" s="168" t="inlineStr">
        <is>
          <t>Verified Count</t>
        </is>
      </c>
      <c r="E1" s="168" t="inlineStr">
        <is>
          <t>Status</t>
        </is>
      </c>
      <c r="F1" s="168" t="inlineStr">
        <is>
          <t>Difference</t>
        </is>
      </c>
    </row>
    <row r="2" ht="21.75" customHeight="1" s="91">
      <c r="A2" s="90" t="inlineStr">
        <is>
          <t>BU Questrom</t>
        </is>
      </c>
      <c r="B2" s="90" t="inlineStr">
        <is>
          <t>Accounting</t>
        </is>
      </c>
      <c r="C2" s="90" t="n">
        <v>9</v>
      </c>
      <c r="D2" s="90" t="n">
        <v>11</v>
      </c>
      <c r="E2" s="90" t="inlineStr">
        <is>
          <t>Close (±1-2)</t>
        </is>
      </c>
      <c r="F2" s="90" t="n">
        <v>2</v>
      </c>
    </row>
    <row r="3" ht="15" customHeight="1" s="91">
      <c r="A3" s="90" t="inlineStr">
        <is>
          <t>BU Questrom</t>
        </is>
      </c>
      <c r="B3" s="90" t="inlineStr">
        <is>
          <t>Finance</t>
        </is>
      </c>
      <c r="C3" s="90" t="n">
        <v>13</v>
      </c>
      <c r="D3" s="90" t="n">
        <v>17</v>
      </c>
      <c r="E3" s="90" t="inlineStr">
        <is>
          <t>Discrepancy</t>
        </is>
      </c>
      <c r="F3" s="90" t="n">
        <v>4</v>
      </c>
    </row>
    <row r="4" ht="15" customHeight="1" s="91">
      <c r="A4" s="90" t="inlineStr">
        <is>
          <t>BU Questrom</t>
        </is>
      </c>
      <c r="B4" s="90" t="inlineStr">
        <is>
          <t>Information Systems</t>
        </is>
      </c>
      <c r="C4" s="90" t="n">
        <v>12</v>
      </c>
      <c r="D4" s="90" t="n">
        <v>15</v>
      </c>
      <c r="E4" s="90" t="inlineStr">
        <is>
          <t>Discrepancy</t>
        </is>
      </c>
      <c r="F4" s="90" t="n">
        <v>3</v>
      </c>
    </row>
    <row r="5" ht="15" customHeight="1" s="91">
      <c r="A5" s="90" t="inlineStr">
        <is>
          <t>BU Questrom</t>
        </is>
      </c>
      <c r="B5" s="90" t="inlineStr">
        <is>
          <t>Management &amp; Organizations</t>
        </is>
      </c>
      <c r="C5" s="90" t="n">
        <v>11</v>
      </c>
      <c r="D5" s="90" t="n">
        <v>11</v>
      </c>
      <c r="E5" s="90" t="inlineStr">
        <is>
          <t>Confirmed</t>
        </is>
      </c>
      <c r="F5" s="90" t="n">
        <v>0</v>
      </c>
    </row>
    <row r="6" ht="15" customHeight="1" s="91">
      <c r="A6" s="90" t="inlineStr">
        <is>
          <t>BU Questrom</t>
        </is>
      </c>
      <c r="B6" s="90" t="inlineStr">
        <is>
          <t>Marketing</t>
        </is>
      </c>
      <c r="C6" s="90" t="n">
        <v>14</v>
      </c>
      <c r="D6" s="90" t="n">
        <v>17</v>
      </c>
      <c r="E6" s="90" t="inlineStr">
        <is>
          <t>Discrepancy</t>
        </is>
      </c>
      <c r="F6" s="90" t="n">
        <v>3</v>
      </c>
    </row>
    <row r="7" ht="15" customHeight="1" s="91">
      <c r="A7" s="90" t="inlineStr">
        <is>
          <t>BU Questrom</t>
        </is>
      </c>
      <c r="B7" s="90" t="inlineStr">
        <is>
          <t>Markets, Public Policy, and Law</t>
        </is>
      </c>
      <c r="C7" s="90" t="n">
        <v>10</v>
      </c>
      <c r="D7" s="90" t="n">
        <v>12</v>
      </c>
      <c r="E7" s="90" t="inlineStr">
        <is>
          <t>Close (±1-2)</t>
        </is>
      </c>
      <c r="F7" s="90" t="n">
        <v>2</v>
      </c>
    </row>
    <row r="8" ht="15" customHeight="1" s="91">
      <c r="A8" s="90" t="inlineStr">
        <is>
          <t>BU Questrom</t>
        </is>
      </c>
      <c r="B8" s="90" t="inlineStr">
        <is>
          <t>Operations and Technology Management</t>
        </is>
      </c>
      <c r="C8" s="90" t="n">
        <v>6</v>
      </c>
      <c r="D8" s="90" t="n">
        <v>7</v>
      </c>
      <c r="E8" s="90" t="inlineStr">
        <is>
          <t>Close (±1-2)</t>
        </is>
      </c>
      <c r="F8" s="90" t="n">
        <v>1</v>
      </c>
    </row>
    <row r="9" ht="15" customHeight="1" s="91">
      <c r="A9" s="90" t="inlineStr">
        <is>
          <t>BU Questrom</t>
        </is>
      </c>
      <c r="B9" s="90" t="inlineStr">
        <is>
          <t>Public Policy &amp; Law</t>
        </is>
      </c>
      <c r="C9" s="90" t="n">
        <v>3</v>
      </c>
      <c r="E9" s="90" t="inlineStr">
        <is>
          <t>Flag</t>
        </is>
      </c>
      <c r="F9" s="90" t="n">
        <v>-3</v>
      </c>
    </row>
    <row r="10" ht="15" customHeight="1" s="91">
      <c r="A10" s="90" t="inlineStr">
        <is>
          <t>BU Questrom</t>
        </is>
      </c>
      <c r="B10" s="90" t="inlineStr">
        <is>
          <t>Strategy and Innovation</t>
        </is>
      </c>
      <c r="C10" s="90" t="n">
        <v>8</v>
      </c>
      <c r="D10" s="90" t="n">
        <v>11</v>
      </c>
      <c r="E10" s="90" t="inlineStr">
        <is>
          <t>Discrepancy</t>
        </is>
      </c>
      <c r="F10" s="90" t="n">
        <v>3</v>
      </c>
    </row>
    <row r="11" ht="15" customHeight="1" s="91">
      <c r="A11" s="90" t="inlineStr">
        <is>
          <t>BYU Marriott</t>
        </is>
      </c>
      <c r="B11" s="90" t="inlineStr">
        <is>
          <t>Experience Design and Management</t>
        </is>
      </c>
      <c r="C11" s="90" t="n">
        <v>8</v>
      </c>
      <c r="D11" s="90" t="n">
        <v>8</v>
      </c>
      <c r="E11" s="90" t="inlineStr">
        <is>
          <t>Confirmed</t>
        </is>
      </c>
      <c r="F11" s="90" t="n">
        <v>0</v>
      </c>
    </row>
    <row r="12" ht="15" customHeight="1" s="91">
      <c r="A12" s="90" t="inlineStr">
        <is>
          <t>BYU Marriott</t>
        </is>
      </c>
      <c r="B12" s="90" t="inlineStr">
        <is>
          <t>Finance</t>
        </is>
      </c>
      <c r="C12" s="90" t="n">
        <v>20</v>
      </c>
      <c r="D12" s="90" t="n">
        <v>21</v>
      </c>
      <c r="E12" s="90" t="inlineStr">
        <is>
          <t>Close (±1-2)</t>
        </is>
      </c>
      <c r="F12" s="90" t="n">
        <v>1</v>
      </c>
    </row>
    <row r="13" ht="15" customHeight="1" s="91">
      <c r="A13" s="90" t="inlineStr">
        <is>
          <t>BYU Marriott</t>
        </is>
      </c>
      <c r="B13" s="90" t="inlineStr">
        <is>
          <t>Information Systems</t>
        </is>
      </c>
      <c r="C13" s="90" t="n">
        <v>15</v>
      </c>
      <c r="D13" s="90" t="n">
        <v>15</v>
      </c>
      <c r="E13" s="90" t="inlineStr">
        <is>
          <t>Confirmed</t>
        </is>
      </c>
      <c r="F13" s="90" t="n">
        <v>0</v>
      </c>
    </row>
    <row r="14" ht="17.25" customHeight="1" s="91">
      <c r="A14" s="90" t="inlineStr">
        <is>
          <t>BYU Marriott</t>
        </is>
      </c>
      <c r="B14" s="90" t="inlineStr">
        <is>
          <t>Management</t>
        </is>
      </c>
      <c r="C14" s="90" t="n">
        <v>26</v>
      </c>
      <c r="D14" s="90" t="n">
        <v>27</v>
      </c>
      <c r="E14" s="90" t="inlineStr">
        <is>
          <t>Close (±1-2)</t>
        </is>
      </c>
      <c r="F14" s="90" t="n">
        <v>1</v>
      </c>
    </row>
    <row r="15" ht="15" customHeight="1" s="91">
      <c r="A15" s="90" t="inlineStr">
        <is>
          <t>BYU Marriott</t>
        </is>
      </c>
      <c r="B15" s="90" t="inlineStr">
        <is>
          <t>Marketing and Global Supply Chain</t>
        </is>
      </c>
      <c r="C15" s="90" t="n">
        <v>21</v>
      </c>
      <c r="D15" s="90" t="n">
        <v>20</v>
      </c>
      <c r="E15" s="90" t="inlineStr">
        <is>
          <t>Close (±1-2)</t>
        </is>
      </c>
      <c r="F15" s="90" t="n">
        <v>-1</v>
      </c>
    </row>
    <row r="16" ht="15" customHeight="1" s="91">
      <c r="A16" s="90" t="inlineStr">
        <is>
          <t>BYU Marriott</t>
        </is>
      </c>
      <c r="B16" s="90" t="inlineStr">
        <is>
          <t>Romney Institute of Public Service and Ethics</t>
        </is>
      </c>
      <c r="C16" s="90" t="n">
        <v>11</v>
      </c>
      <c r="D16" s="90" t="n">
        <v>12</v>
      </c>
      <c r="E16" s="90" t="inlineStr">
        <is>
          <t>Close (±1-2)</t>
        </is>
      </c>
      <c r="F16" s="90" t="n">
        <v>1</v>
      </c>
    </row>
    <row r="17" ht="15" customHeight="1" s="91">
      <c r="A17" s="90" t="inlineStr">
        <is>
          <t>BYU Marriott</t>
        </is>
      </c>
      <c r="B17" s="90" t="inlineStr">
        <is>
          <t>School of Accountancy</t>
        </is>
      </c>
      <c r="C17" s="90" t="n">
        <v>22</v>
      </c>
      <c r="D17" s="90" t="n">
        <v>23</v>
      </c>
      <c r="E17" s="90" t="inlineStr">
        <is>
          <t>Close (±1-2)</t>
        </is>
      </c>
      <c r="F17" s="90" t="n">
        <v>1</v>
      </c>
    </row>
    <row r="18" ht="15" customHeight="1" s="91">
      <c r="A18" s="90" t="inlineStr">
        <is>
          <t>Berkeley Haas</t>
        </is>
      </c>
      <c r="B18" s="90" t="inlineStr">
        <is>
          <t>Accounting</t>
        </is>
      </c>
      <c r="C18" s="90" t="n">
        <v>9</v>
      </c>
      <c r="D18" s="90" t="n">
        <v>9</v>
      </c>
      <c r="E18" s="90" t="inlineStr">
        <is>
          <t>Confirmed</t>
        </is>
      </c>
      <c r="F18" s="90" t="n">
        <v>0</v>
      </c>
    </row>
    <row r="19" ht="15" customHeight="1" s="91">
      <c r="A19" s="90" t="inlineStr">
        <is>
          <t>Berkeley Haas</t>
        </is>
      </c>
      <c r="B19" s="90" t="inlineStr">
        <is>
          <t>Business &amp; Public Policy</t>
        </is>
      </c>
      <c r="C19" s="90" t="n">
        <v>13</v>
      </c>
      <c r="D19" s="90" t="n">
        <v>12</v>
      </c>
      <c r="E19" s="90" t="inlineStr">
        <is>
          <t>Close (±1-2)</t>
        </is>
      </c>
      <c r="F19" s="90" t="n">
        <v>-1</v>
      </c>
    </row>
    <row r="20" ht="15" customHeight="1" s="91">
      <c r="A20" s="90" t="inlineStr">
        <is>
          <t>Berkeley Haas</t>
        </is>
      </c>
      <c r="B20" s="90" t="inlineStr">
        <is>
          <t>Economic Analysis &amp; Policy</t>
        </is>
      </c>
      <c r="C20" s="90" t="n">
        <v>19</v>
      </c>
      <c r="D20" s="90" t="n">
        <v>19</v>
      </c>
      <c r="E20" s="90" t="inlineStr">
        <is>
          <t>Confirmed</t>
        </is>
      </c>
      <c r="F20" s="90" t="n">
        <v>0</v>
      </c>
    </row>
    <row r="21" ht="15" customHeight="1" s="91">
      <c r="A21" s="90" t="inlineStr">
        <is>
          <t>Berkeley Haas</t>
        </is>
      </c>
      <c r="B21" s="90" t="inlineStr">
        <is>
          <t>Finance</t>
        </is>
      </c>
      <c r="C21" s="90" t="n">
        <v>12</v>
      </c>
      <c r="D21" s="90" t="n">
        <v>12</v>
      </c>
      <c r="E21" s="90" t="inlineStr">
        <is>
          <t>Confirmed</t>
        </is>
      </c>
      <c r="F21" s="90" t="n">
        <v>0</v>
      </c>
    </row>
    <row r="22" ht="15" customHeight="1" s="91">
      <c r="A22" s="90" t="inlineStr">
        <is>
          <t>Berkeley Haas</t>
        </is>
      </c>
      <c r="B22" s="90" t="inlineStr">
        <is>
          <t>Management of Organizations</t>
        </is>
      </c>
      <c r="C22" s="90" t="n">
        <v>11</v>
      </c>
      <c r="D22" s="90" t="n">
        <v>11</v>
      </c>
      <c r="E22" s="90" t="inlineStr">
        <is>
          <t>Confirmed</t>
        </is>
      </c>
      <c r="F22" s="90" t="n">
        <v>0</v>
      </c>
    </row>
    <row r="23" ht="15" customHeight="1" s="91">
      <c r="A23" s="90" t="inlineStr">
        <is>
          <t>Berkeley Haas</t>
        </is>
      </c>
      <c r="B23" s="90" t="inlineStr">
        <is>
          <t>Marketing</t>
        </is>
      </c>
      <c r="C23" s="90" t="n">
        <v>12</v>
      </c>
      <c r="D23" s="90" t="n">
        <v>13</v>
      </c>
      <c r="E23" s="90" t="inlineStr">
        <is>
          <t>Close (±1-2)</t>
        </is>
      </c>
      <c r="F23" s="90" t="n">
        <v>1</v>
      </c>
    </row>
    <row r="24" ht="15" customHeight="1" s="91">
      <c r="A24" s="90" t="inlineStr">
        <is>
          <t>Berkeley Haas</t>
        </is>
      </c>
      <c r="B24" s="90" t="inlineStr">
        <is>
          <t>Operations &amp; IT Management</t>
        </is>
      </c>
      <c r="C24" s="90" t="n">
        <v>8</v>
      </c>
      <c r="D24" s="90" t="n">
        <v>8</v>
      </c>
      <c r="E24" s="90" t="inlineStr">
        <is>
          <t>Confirmed</t>
        </is>
      </c>
      <c r="F24" s="90" t="n">
        <v>0</v>
      </c>
    </row>
    <row r="25" ht="15" customHeight="1" s="91">
      <c r="A25" s="90" t="inlineStr">
        <is>
          <t>Boston College Carroll</t>
        </is>
      </c>
      <c r="B25" s="90" t="inlineStr">
        <is>
          <t>Accounting</t>
        </is>
      </c>
      <c r="C25" s="90" t="n">
        <v>14</v>
      </c>
      <c r="D25" s="90" t="n">
        <v>14</v>
      </c>
      <c r="E25" s="90" t="inlineStr">
        <is>
          <t>Confirmed</t>
        </is>
      </c>
      <c r="F25" s="90" t="n">
        <v>0</v>
      </c>
    </row>
    <row r="26" ht="15" customHeight="1" s="91">
      <c r="A26" s="90" t="inlineStr">
        <is>
          <t>Boston College Carroll</t>
        </is>
      </c>
      <c r="B26" s="90" t="inlineStr">
        <is>
          <t>Business Analytics</t>
        </is>
      </c>
      <c r="C26" s="90" t="n">
        <v>13</v>
      </c>
      <c r="D26" s="90" t="n">
        <v>13</v>
      </c>
      <c r="E26" s="90" t="inlineStr">
        <is>
          <t>Confirmed</t>
        </is>
      </c>
      <c r="F26" s="90" t="n">
        <v>0</v>
      </c>
    </row>
    <row r="27" ht="15" customHeight="1" s="91">
      <c r="A27" s="90" t="inlineStr">
        <is>
          <t>Boston College Carroll</t>
        </is>
      </c>
      <c r="B27" s="90" t="inlineStr">
        <is>
          <t>Business Law and Society</t>
        </is>
      </c>
      <c r="C27" s="90" t="n">
        <v>2</v>
      </c>
      <c r="D27" s="90" t="n">
        <v>0</v>
      </c>
      <c r="E27" s="90" t="inlineStr">
        <is>
          <t>Close (±1-2)</t>
        </is>
      </c>
      <c r="F27" s="90" t="n">
        <v>-2</v>
      </c>
    </row>
    <row r="28" ht="15" customHeight="1" s="91">
      <c r="A28" s="90" t="inlineStr">
        <is>
          <t>Boston College Carroll</t>
        </is>
      </c>
      <c r="B28" s="90" t="inlineStr">
        <is>
          <t>Finance</t>
        </is>
      </c>
      <c r="C28" s="90" t="n">
        <v>27</v>
      </c>
      <c r="D28" s="90" t="n">
        <v>29</v>
      </c>
      <c r="E28" s="90" t="inlineStr">
        <is>
          <t>Close (±1-2)</t>
        </is>
      </c>
      <c r="F28" s="90" t="n">
        <v>2</v>
      </c>
    </row>
    <row r="29" ht="15" customHeight="1" s="91">
      <c r="A29" s="90" t="inlineStr">
        <is>
          <t>Boston College Carroll</t>
        </is>
      </c>
      <c r="B29" s="90" t="inlineStr">
        <is>
          <t>Management and Organization</t>
        </is>
      </c>
      <c r="C29" s="90" t="n">
        <v>11</v>
      </c>
      <c r="D29" s="90" t="n">
        <v>12</v>
      </c>
      <c r="E29" s="90" t="inlineStr">
        <is>
          <t>Close (±1-2)</t>
        </is>
      </c>
      <c r="F29" s="90" t="n">
        <v>1</v>
      </c>
    </row>
    <row r="30" ht="15" customHeight="1" s="91">
      <c r="A30" s="90" t="inlineStr">
        <is>
          <t>Boston College Carroll</t>
        </is>
      </c>
      <c r="B30" s="90" t="inlineStr">
        <is>
          <t>Marketing</t>
        </is>
      </c>
      <c r="C30" s="90" t="n">
        <v>11</v>
      </c>
      <c r="D30" s="90" t="n">
        <v>11</v>
      </c>
      <c r="E30" s="90" t="inlineStr">
        <is>
          <t>Confirmed</t>
        </is>
      </c>
      <c r="F30" s="90" t="n">
        <v>0</v>
      </c>
    </row>
    <row r="31" ht="15" customHeight="1" s="91">
      <c r="A31" s="90" t="inlineStr">
        <is>
          <t>CMU Tepper</t>
        </is>
      </c>
      <c r="B31" s="90" t="inlineStr">
        <is>
          <t>Accounting</t>
        </is>
      </c>
      <c r="C31" s="90" t="n">
        <v>5</v>
      </c>
      <c r="D31" s="90" t="n">
        <v>5</v>
      </c>
      <c r="E31" s="90" t="inlineStr">
        <is>
          <t>Confirmed</t>
        </is>
      </c>
      <c r="F31" s="90" t="n">
        <v>0</v>
      </c>
    </row>
    <row r="32" ht="15" customHeight="1" s="91">
      <c r="A32" s="90" t="inlineStr">
        <is>
          <t>CMU Tepper</t>
        </is>
      </c>
      <c r="B32" s="90" t="inlineStr">
        <is>
          <t>Business Technologies</t>
        </is>
      </c>
      <c r="C32" s="90" t="n">
        <v>10</v>
      </c>
      <c r="D32" s="90" t="n">
        <v>10</v>
      </c>
      <c r="E32" s="90" t="inlineStr">
        <is>
          <t>Confirmed</t>
        </is>
      </c>
      <c r="F32" s="90" t="n">
        <v>0</v>
      </c>
    </row>
    <row r="33" ht="15" customHeight="1" s="91">
      <c r="A33" s="90" t="inlineStr">
        <is>
          <t>CMU Tepper</t>
        </is>
      </c>
      <c r="B33" s="90" t="inlineStr">
        <is>
          <t>Economics</t>
        </is>
      </c>
      <c r="C33" s="90" t="n">
        <v>21</v>
      </c>
      <c r="D33" s="90" t="n">
        <v>21</v>
      </c>
      <c r="E33" s="90" t="inlineStr">
        <is>
          <t>Confirmed</t>
        </is>
      </c>
      <c r="F33" s="90" t="n">
        <v>0</v>
      </c>
    </row>
    <row r="34" ht="15" customHeight="1" s="91">
      <c r="A34" s="90" t="inlineStr">
        <is>
          <t>CMU Tepper</t>
        </is>
      </c>
      <c r="B34" s="90" t="inlineStr">
        <is>
          <t>Finance</t>
        </is>
      </c>
      <c r="C34" s="90" t="n">
        <v>12</v>
      </c>
      <c r="D34" s="90" t="n">
        <v>12</v>
      </c>
      <c r="E34" s="90" t="inlineStr">
        <is>
          <t>Confirmed</t>
        </is>
      </c>
      <c r="F34" s="90" t="n">
        <v>0</v>
      </c>
    </row>
    <row r="35" ht="15" customHeight="1" s="91">
      <c r="A35" s="90" t="inlineStr">
        <is>
          <t>CMU Tepper</t>
        </is>
      </c>
      <c r="B35" s="90" t="inlineStr">
        <is>
          <t>Marketing</t>
        </is>
      </c>
      <c r="C35" s="90" t="n">
        <v>8</v>
      </c>
      <c r="D35" s="90" t="n">
        <v>8</v>
      </c>
      <c r="E35" s="90" t="inlineStr">
        <is>
          <t>Confirmed</t>
        </is>
      </c>
      <c r="F35" s="90" t="n">
        <v>0</v>
      </c>
    </row>
    <row r="36" ht="15" customHeight="1" s="91">
      <c r="A36" s="90" t="inlineStr">
        <is>
          <t>CMU Tepper</t>
        </is>
      </c>
      <c r="B36" s="90" t="inlineStr">
        <is>
          <t>Operations Management</t>
        </is>
      </c>
      <c r="C36" s="90" t="n">
        <v>10</v>
      </c>
      <c r="D36" s="90" t="n">
        <v>10</v>
      </c>
      <c r="E36" s="90" t="inlineStr">
        <is>
          <t>Confirmed</t>
        </is>
      </c>
      <c r="F36" s="90" t="n">
        <v>0</v>
      </c>
    </row>
    <row r="37" ht="15" customHeight="1" s="91">
      <c r="A37" s="90" t="inlineStr">
        <is>
          <t>CMU Tepper</t>
        </is>
      </c>
      <c r="B37" s="90" t="inlineStr">
        <is>
          <t>Operations Research</t>
        </is>
      </c>
      <c r="C37" s="90" t="n">
        <v>10</v>
      </c>
      <c r="D37" s="90" t="n">
        <v>10</v>
      </c>
      <c r="E37" s="90" t="inlineStr">
        <is>
          <t>Confirmed</t>
        </is>
      </c>
      <c r="F37" s="90" t="n">
        <v>0</v>
      </c>
    </row>
    <row r="38" ht="15" customHeight="1" s="91">
      <c r="A38" s="90" t="inlineStr">
        <is>
          <t>CMU Tepper</t>
        </is>
      </c>
      <c r="B38" s="90" t="inlineStr">
        <is>
          <t>Strategy</t>
        </is>
      </c>
      <c r="C38" s="90" t="n">
        <v>6</v>
      </c>
      <c r="D38" s="90" t="n">
        <v>6</v>
      </c>
      <c r="E38" s="90" t="inlineStr">
        <is>
          <t>Confirmed</t>
        </is>
      </c>
      <c r="F38" s="90" t="n">
        <v>0</v>
      </c>
    </row>
    <row r="39" ht="15" customHeight="1" s="91">
      <c r="A39" s="90" t="inlineStr">
        <is>
          <t>Chicago Booth</t>
        </is>
      </c>
      <c r="B39" s="90" t="inlineStr">
        <is>
          <t>Accounting</t>
        </is>
      </c>
      <c r="C39" s="90" t="n">
        <v>21</v>
      </c>
      <c r="D39" s="90" t="n">
        <v>21</v>
      </c>
      <c r="E39" s="90" t="inlineStr">
        <is>
          <t>Confirmed</t>
        </is>
      </c>
      <c r="F39" s="90" t="n">
        <v>0</v>
      </c>
    </row>
    <row r="40" ht="15" customHeight="1" s="91">
      <c r="A40" s="90" t="inlineStr">
        <is>
          <t>Chicago Booth</t>
        </is>
      </c>
      <c r="B40" s="90" t="inlineStr">
        <is>
          <t>Applied AI</t>
        </is>
      </c>
      <c r="C40" s="90" t="n">
        <v>1</v>
      </c>
      <c r="D40" s="90" t="n">
        <v>1</v>
      </c>
      <c r="E40" s="90" t="inlineStr">
        <is>
          <t>Confirmed</t>
        </is>
      </c>
      <c r="F40" s="90" t="n">
        <v>0</v>
      </c>
    </row>
    <row r="41" ht="15" customHeight="1" s="91">
      <c r="A41" s="90" t="inlineStr">
        <is>
          <t>Chicago Booth</t>
        </is>
      </c>
      <c r="B41" s="90" t="inlineStr">
        <is>
          <t>Behavioral Science</t>
        </is>
      </c>
      <c r="C41" s="90" t="n">
        <v>18</v>
      </c>
      <c r="D41" s="90" t="n">
        <v>18</v>
      </c>
      <c r="E41" s="90" t="inlineStr">
        <is>
          <t>Confirmed</t>
        </is>
      </c>
      <c r="F41" s="90" t="n">
        <v>0</v>
      </c>
    </row>
    <row r="42" ht="15" customHeight="1" s="91">
      <c r="A42" s="90" t="inlineStr">
        <is>
          <t>Chicago Booth</t>
        </is>
      </c>
      <c r="B42" s="90" t="inlineStr">
        <is>
          <t>Econometrics &amp; Statistics</t>
        </is>
      </c>
      <c r="C42" s="90" t="n">
        <v>14</v>
      </c>
      <c r="D42" s="90" t="n">
        <v>14</v>
      </c>
      <c r="E42" s="90" t="inlineStr">
        <is>
          <t>Confirmed</t>
        </is>
      </c>
      <c r="F42" s="90" t="n">
        <v>0</v>
      </c>
    </row>
    <row r="43" ht="15" customHeight="1" s="91">
      <c r="A43" s="90" t="inlineStr">
        <is>
          <t>Chicago Booth</t>
        </is>
      </c>
      <c r="B43" s="90" t="inlineStr">
        <is>
          <t>Entrepreneurship</t>
        </is>
      </c>
      <c r="C43" s="90" t="n">
        <v>4</v>
      </c>
      <c r="D43" s="90" t="n">
        <v>4</v>
      </c>
      <c r="E43" s="90" t="inlineStr">
        <is>
          <t>Confirmed</t>
        </is>
      </c>
      <c r="F43" s="90" t="n">
        <v>0</v>
      </c>
    </row>
    <row r="44" ht="15" customHeight="1" s="91">
      <c r="A44" s="90" t="inlineStr">
        <is>
          <t>Chicago Booth</t>
        </is>
      </c>
      <c r="B44" s="90" t="inlineStr">
        <is>
          <t>Finance</t>
        </is>
      </c>
      <c r="C44" s="90" t="n">
        <v>25</v>
      </c>
      <c r="D44" s="90" t="n">
        <v>28</v>
      </c>
      <c r="E44" s="90" t="inlineStr">
        <is>
          <t>Discrepancy</t>
        </is>
      </c>
      <c r="F44" s="90" t="n">
        <v>3</v>
      </c>
    </row>
    <row r="45" ht="17.25" customHeight="1" s="91">
      <c r="A45" s="90" t="inlineStr">
        <is>
          <t>Chicago Booth</t>
        </is>
      </c>
      <c r="B45" s="90" t="inlineStr">
        <is>
          <t>Macroeconomics</t>
        </is>
      </c>
      <c r="C45" s="90" t="n">
        <v>12</v>
      </c>
      <c r="D45" s="90" t="n">
        <v>14</v>
      </c>
      <c r="E45" s="90" t="inlineStr">
        <is>
          <t>Close (±1-2)</t>
        </is>
      </c>
      <c r="F45" s="90" t="n">
        <v>2</v>
      </c>
    </row>
    <row r="46" ht="15" customHeight="1" s="91">
      <c r="A46" s="90" t="inlineStr">
        <is>
          <t>Chicago Booth</t>
        </is>
      </c>
      <c r="B46" s="90" t="inlineStr">
        <is>
          <t>Marketing</t>
        </is>
      </c>
      <c r="C46" s="90" t="n">
        <v>17</v>
      </c>
      <c r="D46" s="90" t="n">
        <v>17</v>
      </c>
      <c r="E46" s="90" t="inlineStr">
        <is>
          <t>Confirmed</t>
        </is>
      </c>
      <c r="F46" s="90" t="n">
        <v>0</v>
      </c>
    </row>
    <row r="47" ht="15" customHeight="1" s="91">
      <c r="A47" s="90" t="inlineStr">
        <is>
          <t>Chicago Booth</t>
        </is>
      </c>
      <c r="B47" s="90" t="inlineStr">
        <is>
          <t>Microeconomics</t>
        </is>
      </c>
      <c r="C47" s="90" t="n">
        <v>20</v>
      </c>
      <c r="D47" s="90" t="n">
        <v>22</v>
      </c>
      <c r="E47" s="90" t="inlineStr">
        <is>
          <t>Close (±1-2)</t>
        </is>
      </c>
      <c r="F47" s="90" t="n">
        <v>2</v>
      </c>
    </row>
    <row r="48" ht="15" customHeight="1" s="91">
      <c r="A48" s="90" t="inlineStr">
        <is>
          <t>Chicago Booth</t>
        </is>
      </c>
      <c r="B48" s="90" t="inlineStr">
        <is>
          <t>Operations Management</t>
        </is>
      </c>
      <c r="C48" s="90" t="n">
        <v>12</v>
      </c>
      <c r="D48" s="90" t="n">
        <v>12</v>
      </c>
      <c r="E48" s="90" t="inlineStr">
        <is>
          <t>Confirmed</t>
        </is>
      </c>
      <c r="F48" s="90" t="n">
        <v>0</v>
      </c>
    </row>
    <row r="49" ht="15" customHeight="1" s="91">
      <c r="A49" s="90" t="inlineStr">
        <is>
          <t>Columbia CBS</t>
        </is>
      </c>
      <c r="B49" s="90" t="inlineStr">
        <is>
          <t>Accounting</t>
        </is>
      </c>
      <c r="C49" s="90" t="n">
        <v>11</v>
      </c>
      <c r="D49" s="90" t="n">
        <v>11</v>
      </c>
      <c r="E49" s="90" t="inlineStr">
        <is>
          <t>Confirmed</t>
        </is>
      </c>
      <c r="F49" s="90" t="n">
        <v>0</v>
      </c>
    </row>
    <row r="50" ht="15" customHeight="1" s="91">
      <c r="A50" s="90" t="inlineStr">
        <is>
          <t>Columbia CBS</t>
        </is>
      </c>
      <c r="B50" s="90" t="inlineStr">
        <is>
          <t>Decision, Risk &amp; Operations</t>
        </is>
      </c>
      <c r="C50" s="90" t="n">
        <v>17</v>
      </c>
      <c r="D50" s="90" t="n">
        <v>17</v>
      </c>
      <c r="E50" s="90" t="inlineStr">
        <is>
          <t>Confirmed</t>
        </is>
      </c>
      <c r="F50" s="90" t="n">
        <v>0</v>
      </c>
    </row>
    <row r="51" ht="15" customHeight="1" s="91">
      <c r="A51" s="90" t="inlineStr">
        <is>
          <t>Columbia CBS</t>
        </is>
      </c>
      <c r="B51" s="90" t="inlineStr">
        <is>
          <t>Economics</t>
        </is>
      </c>
      <c r="C51" s="90" t="n">
        <v>21</v>
      </c>
      <c r="D51" s="90" t="n">
        <v>21</v>
      </c>
      <c r="E51" s="90" t="inlineStr">
        <is>
          <t>Confirmed</t>
        </is>
      </c>
      <c r="F51" s="90" t="n">
        <v>0</v>
      </c>
    </row>
    <row r="52" ht="15" customHeight="1" s="91">
      <c r="A52" s="90" t="inlineStr">
        <is>
          <t>Columbia CBS</t>
        </is>
      </c>
      <c r="B52" s="90" t="inlineStr">
        <is>
          <t>Finance</t>
        </is>
      </c>
      <c r="C52" s="90" t="n">
        <v>24</v>
      </c>
      <c r="D52" s="90" t="n">
        <v>24</v>
      </c>
      <c r="E52" s="90" t="inlineStr">
        <is>
          <t>Confirmed</t>
        </is>
      </c>
      <c r="F52" s="90" t="n">
        <v>0</v>
      </c>
    </row>
    <row r="53" ht="15" customHeight="1" s="91">
      <c r="A53" s="90" t="inlineStr">
        <is>
          <t>Columbia CBS</t>
        </is>
      </c>
      <c r="B53" s="90" t="inlineStr">
        <is>
          <t>Management</t>
        </is>
      </c>
      <c r="C53" s="90" t="n">
        <v>29</v>
      </c>
      <c r="D53" s="90" t="n">
        <v>29</v>
      </c>
      <c r="E53" s="90" t="inlineStr">
        <is>
          <t>Confirmed</t>
        </is>
      </c>
      <c r="F53" s="90" t="n">
        <v>0</v>
      </c>
    </row>
    <row r="54" ht="15" customHeight="1" s="91">
      <c r="A54" s="90" t="inlineStr">
        <is>
          <t>Columbia CBS</t>
        </is>
      </c>
      <c r="B54" s="90" t="inlineStr">
        <is>
          <t>Marketing</t>
        </is>
      </c>
      <c r="C54" s="90" t="n">
        <v>21</v>
      </c>
      <c r="D54" s="90" t="n">
        <v>21</v>
      </c>
      <c r="E54" s="90" t="inlineStr">
        <is>
          <t>Confirmed</t>
        </is>
      </c>
      <c r="F54" s="90" t="n">
        <v>0</v>
      </c>
    </row>
    <row r="55" ht="15" customHeight="1" s="91">
      <c r="A55" s="90" t="inlineStr">
        <is>
          <t>Cornell SC Johnson</t>
        </is>
      </c>
      <c r="B55" s="90" t="inlineStr">
        <is>
          <t>Accounting</t>
        </is>
      </c>
      <c r="C55" s="90" t="n">
        <v>12</v>
      </c>
      <c r="D55" s="90" t="n">
        <v>14</v>
      </c>
      <c r="E55" s="90" t="inlineStr">
        <is>
          <t>Close (±1-2)</t>
        </is>
      </c>
      <c r="F55" s="90" t="n">
        <v>2</v>
      </c>
    </row>
    <row r="56" ht="15" customHeight="1" s="91">
      <c r="A56" s="90" t="inlineStr">
        <is>
          <t>Cornell SC Johnson</t>
        </is>
      </c>
      <c r="B56" s="90" t="inlineStr">
        <is>
          <t>Applied Economics &amp; Policy</t>
        </is>
      </c>
      <c r="C56" s="90" t="n">
        <v>25</v>
      </c>
      <c r="D56" s="90" t="n">
        <v>25</v>
      </c>
      <c r="E56" s="90" t="inlineStr">
        <is>
          <t>Confirmed</t>
        </is>
      </c>
      <c r="F56" s="90" t="n">
        <v>0</v>
      </c>
    </row>
    <row r="57" ht="15" customHeight="1" s="91">
      <c r="A57" s="90" t="inlineStr">
        <is>
          <t>Cornell SC Johnson</t>
        </is>
      </c>
      <c r="B57" s="90" t="inlineStr">
        <is>
          <t>Finance</t>
        </is>
      </c>
      <c r="C57" s="90" t="n">
        <v>28</v>
      </c>
      <c r="D57" s="90" t="n">
        <v>24</v>
      </c>
      <c r="E57" s="90" t="inlineStr">
        <is>
          <t>Discrepancy</t>
        </is>
      </c>
      <c r="F57" s="90" t="n">
        <v>-4</v>
      </c>
    </row>
    <row r="58" ht="15" customHeight="1" s="91">
      <c r="A58" s="90" t="inlineStr">
        <is>
          <t>Cornell SC Johnson</t>
        </is>
      </c>
      <c r="B58" s="90" t="inlineStr">
        <is>
          <t>Management &amp; Organizations</t>
        </is>
      </c>
      <c r="C58" s="90" t="n">
        <v>19</v>
      </c>
      <c r="D58" s="90" t="n">
        <v>27</v>
      </c>
      <c r="E58" s="90" t="inlineStr">
        <is>
          <t>Discrepancy</t>
        </is>
      </c>
      <c r="F58" s="90" t="n">
        <v>8</v>
      </c>
    </row>
    <row r="59" ht="15" customHeight="1" s="91">
      <c r="A59" s="90" t="inlineStr">
        <is>
          <t>Cornell SC Johnson</t>
        </is>
      </c>
      <c r="B59" s="90" t="inlineStr">
        <is>
          <t>Marketing</t>
        </is>
      </c>
      <c r="C59" s="90" t="n">
        <v>24</v>
      </c>
      <c r="D59" s="90" t="n">
        <v>22</v>
      </c>
      <c r="E59" s="90" t="inlineStr">
        <is>
          <t>Close (±1-2)</t>
        </is>
      </c>
      <c r="F59" s="90" t="n">
        <v>-2</v>
      </c>
    </row>
    <row r="60" ht="15" customHeight="1" s="91">
      <c r="A60" s="90" t="inlineStr">
        <is>
          <t>Cornell SC Johnson</t>
        </is>
      </c>
      <c r="B60" s="90" t="inlineStr">
        <is>
          <t>Operations, Technology &amp; Information Management</t>
        </is>
      </c>
      <c r="C60" s="90" t="n">
        <v>24</v>
      </c>
      <c r="D60" s="90" t="n">
        <v>14</v>
      </c>
      <c r="E60" s="90" t="inlineStr">
        <is>
          <t>Discrepancy</t>
        </is>
      </c>
      <c r="F60" s="90" t="n">
        <v>-10</v>
      </c>
    </row>
    <row r="61" ht="15" customHeight="1" s="91">
      <c r="A61" s="90" t="inlineStr">
        <is>
          <t>Cornell SC Johnson</t>
        </is>
      </c>
      <c r="B61" s="90" t="inlineStr">
        <is>
          <t>Other</t>
        </is>
      </c>
      <c r="C61" s="90" t="n">
        <v>3</v>
      </c>
      <c r="D61" s="90" t="n">
        <v>3</v>
      </c>
      <c r="E61" s="90" t="inlineStr">
        <is>
          <t>Confirmed</t>
        </is>
      </c>
      <c r="F61" s="90" t="n">
        <v>0</v>
      </c>
    </row>
    <row r="62" ht="15" customHeight="1" s="91">
      <c r="A62" s="90" t="inlineStr">
        <is>
          <t>Cornell SC Johnson</t>
        </is>
      </c>
      <c r="B62" s="90" t="inlineStr">
        <is>
          <t>Strategy</t>
        </is>
      </c>
      <c r="C62" s="90" t="n">
        <v>10</v>
      </c>
      <c r="D62" s="90" t="n">
        <v>16</v>
      </c>
      <c r="E62" s="90" t="inlineStr">
        <is>
          <t>Discrepancy</t>
        </is>
      </c>
      <c r="F62" s="90" t="n">
        <v>6</v>
      </c>
    </row>
    <row r="63" ht="15" customHeight="1" s="91">
      <c r="A63" s="90" t="inlineStr">
        <is>
          <t>Dartmouth Tuck</t>
        </is>
      </c>
      <c r="B63" s="90" t="inlineStr">
        <is>
          <t>Accounting</t>
        </is>
      </c>
      <c r="C63" s="90" t="n">
        <v>7</v>
      </c>
      <c r="D63" s="90" t="n">
        <v>6</v>
      </c>
      <c r="E63" s="90" t="inlineStr">
        <is>
          <t>Close (±1-2)</t>
        </is>
      </c>
      <c r="F63" s="90" t="n">
        <v>-1</v>
      </c>
    </row>
    <row r="64" ht="15.75" customHeight="1" s="91">
      <c r="A64" s="90" t="inlineStr">
        <is>
          <t>Dartmouth Tuck</t>
        </is>
      </c>
      <c r="B64" s="90" t="inlineStr">
        <is>
          <t>Economics</t>
        </is>
      </c>
      <c r="C64" s="90" t="n">
        <v>8</v>
      </c>
      <c r="D64" s="90" t="n">
        <v>8</v>
      </c>
      <c r="E64" s="90" t="inlineStr">
        <is>
          <t>Confirmed</t>
        </is>
      </c>
      <c r="F64" s="90" t="n">
        <v>0</v>
      </c>
    </row>
    <row r="65" ht="15" customHeight="1" s="91">
      <c r="A65" s="90" t="inlineStr">
        <is>
          <t>Dartmouth Tuck</t>
        </is>
      </c>
      <c r="B65" s="90" t="inlineStr">
        <is>
          <t>Finance</t>
        </is>
      </c>
      <c r="C65" s="90" t="n">
        <v>9</v>
      </c>
      <c r="D65" s="90" t="n">
        <v>9</v>
      </c>
      <c r="E65" s="90" t="inlineStr">
        <is>
          <t>Confirmed</t>
        </is>
      </c>
      <c r="F65" s="90" t="n">
        <v>0</v>
      </c>
    </row>
    <row r="66" ht="15" customHeight="1" s="91">
      <c r="A66" s="90" t="inlineStr">
        <is>
          <t>Dartmouth Tuck</t>
        </is>
      </c>
      <c r="B66" s="90" t="inlineStr">
        <is>
          <t>Management</t>
        </is>
      </c>
      <c r="C66" s="90" t="n">
        <v>5</v>
      </c>
      <c r="D66" s="90" t="n">
        <v>5</v>
      </c>
      <c r="E66" s="90" t="inlineStr">
        <is>
          <t>Confirmed</t>
        </is>
      </c>
      <c r="F66" s="90" t="n">
        <v>0</v>
      </c>
    </row>
    <row r="67" ht="15" customHeight="1" s="91">
      <c r="A67" s="90" t="inlineStr">
        <is>
          <t>Dartmouth Tuck</t>
        </is>
      </c>
      <c r="B67" s="90" t="inlineStr">
        <is>
          <t>Marketing</t>
        </is>
      </c>
      <c r="C67" s="90" t="n">
        <v>10</v>
      </c>
      <c r="D67" s="90" t="n">
        <v>10</v>
      </c>
      <c r="E67" s="90" t="inlineStr">
        <is>
          <t>Confirmed</t>
        </is>
      </c>
      <c r="F67" s="90" t="n">
        <v>0</v>
      </c>
    </row>
    <row r="68" ht="15" customHeight="1" s="91">
      <c r="A68" s="90" t="inlineStr">
        <is>
          <t>Dartmouth Tuck</t>
        </is>
      </c>
      <c r="B68" s="90" t="inlineStr">
        <is>
          <t>Organizational Behavior</t>
        </is>
      </c>
      <c r="C68" s="90" t="n">
        <v>8</v>
      </c>
      <c r="D68" s="90" t="n">
        <v>7</v>
      </c>
      <c r="E68" s="90" t="inlineStr">
        <is>
          <t>Close (±1-2)</t>
        </is>
      </c>
      <c r="F68" s="90" t="n">
        <v>-1</v>
      </c>
    </row>
    <row r="69" ht="15" customHeight="1" s="91">
      <c r="A69" s="90" t="inlineStr">
        <is>
          <t>Dartmouth Tuck</t>
        </is>
      </c>
      <c r="B69" s="90" t="inlineStr">
        <is>
          <t>Strategy</t>
        </is>
      </c>
      <c r="C69" s="90" t="n">
        <v>8</v>
      </c>
      <c r="D69" s="90" t="n">
        <v>7</v>
      </c>
      <c r="E69" s="90" t="inlineStr">
        <is>
          <t>Close (±1-2)</t>
        </is>
      </c>
      <c r="F69" s="90" t="n">
        <v>-1</v>
      </c>
    </row>
    <row r="70" ht="15" customHeight="1" s="91">
      <c r="A70" s="90" t="inlineStr">
        <is>
          <t>Duke Fuqua</t>
        </is>
      </c>
      <c r="B70" s="90" t="inlineStr">
        <is>
          <t>Accounting</t>
        </is>
      </c>
      <c r="C70" s="90" t="n">
        <v>12</v>
      </c>
      <c r="D70" s="90" t="n">
        <v>13</v>
      </c>
      <c r="E70" s="90" t="inlineStr">
        <is>
          <t>Close (±1-2)</t>
        </is>
      </c>
      <c r="F70" s="90" t="n">
        <v>1</v>
      </c>
    </row>
    <row r="71" ht="15" customHeight="1" s="91">
      <c r="A71" s="90" t="inlineStr">
        <is>
          <t>Duke Fuqua</t>
        </is>
      </c>
      <c r="B71" s="90" t="inlineStr">
        <is>
          <t>Decision Sciences</t>
        </is>
      </c>
      <c r="C71" s="90" t="n">
        <v>11</v>
      </c>
      <c r="D71" s="90" t="n">
        <v>13</v>
      </c>
      <c r="E71" s="90" t="inlineStr">
        <is>
          <t>Close (±1-2)</t>
        </is>
      </c>
      <c r="F71" s="90" t="n">
        <v>2</v>
      </c>
    </row>
    <row r="72" ht="15" customHeight="1" s="91">
      <c r="A72" s="90" t="inlineStr">
        <is>
          <t>Duke Fuqua</t>
        </is>
      </c>
      <c r="B72" s="90" t="inlineStr">
        <is>
          <t>Economics</t>
        </is>
      </c>
      <c r="C72" s="90" t="n">
        <v>7</v>
      </c>
      <c r="D72" s="90" t="n">
        <v>8</v>
      </c>
      <c r="E72" s="90" t="inlineStr">
        <is>
          <t>Close (±1-2)</t>
        </is>
      </c>
      <c r="F72" s="90" t="n">
        <v>1</v>
      </c>
    </row>
    <row r="73" ht="15" customHeight="1" s="91">
      <c r="A73" s="90" t="inlineStr">
        <is>
          <t>Duke Fuqua</t>
        </is>
      </c>
      <c r="B73" s="90" t="inlineStr">
        <is>
          <t>Finance</t>
        </is>
      </c>
      <c r="C73" s="90" t="n">
        <v>20</v>
      </c>
      <c r="D73" s="90" t="n">
        <v>22</v>
      </c>
      <c r="E73" s="90" t="inlineStr">
        <is>
          <t>Close (±1-2)</t>
        </is>
      </c>
      <c r="F73" s="90" t="n">
        <v>2</v>
      </c>
    </row>
    <row r="74" ht="15" customHeight="1" s="91">
      <c r="A74" s="90" t="inlineStr">
        <is>
          <t>Duke Fuqua</t>
        </is>
      </c>
      <c r="B74" s="90" t="inlineStr">
        <is>
          <t>Management and Organizations</t>
        </is>
      </c>
      <c r="C74" s="90" t="n">
        <v>12</v>
      </c>
      <c r="D74" s="90" t="n">
        <v>14</v>
      </c>
      <c r="E74" s="90" t="inlineStr">
        <is>
          <t>Close (±1-2)</t>
        </is>
      </c>
      <c r="F74" s="90" t="n">
        <v>2</v>
      </c>
    </row>
    <row r="75" ht="15" customHeight="1" s="91">
      <c r="A75" s="90" t="inlineStr">
        <is>
          <t>Duke Fuqua</t>
        </is>
      </c>
      <c r="B75" s="90" t="inlineStr">
        <is>
          <t>Marketing</t>
        </is>
      </c>
      <c r="C75" s="90" t="n">
        <v>17</v>
      </c>
      <c r="D75" s="90" t="n">
        <v>16</v>
      </c>
      <c r="E75" s="90" t="inlineStr">
        <is>
          <t>Close (±1-2)</t>
        </is>
      </c>
      <c r="F75" s="90" t="n">
        <v>-1</v>
      </c>
    </row>
    <row r="76" ht="15" customHeight="1" s="91">
      <c r="A76" s="90" t="inlineStr">
        <is>
          <t>Duke Fuqua</t>
        </is>
      </c>
      <c r="B76" s="90" t="inlineStr">
        <is>
          <t>Operations Management</t>
        </is>
      </c>
      <c r="C76" s="90" t="n">
        <v>6</v>
      </c>
      <c r="D76" s="90" t="n">
        <v>6</v>
      </c>
      <c r="E76" s="90" t="inlineStr">
        <is>
          <t>Confirmed</t>
        </is>
      </c>
      <c r="F76" s="90" t="n">
        <v>0</v>
      </c>
    </row>
    <row r="77" ht="15" customHeight="1" s="91">
      <c r="A77" s="90" t="inlineStr">
        <is>
          <t>Duke Fuqua</t>
        </is>
      </c>
      <c r="B77" s="90" t="inlineStr">
        <is>
          <t>Strategy</t>
        </is>
      </c>
      <c r="C77" s="90" t="n">
        <v>10</v>
      </c>
      <c r="D77" s="90" t="n">
        <v>12</v>
      </c>
      <c r="E77" s="90" t="inlineStr">
        <is>
          <t>Close (±1-2)</t>
        </is>
      </c>
      <c r="F77" s="90" t="n">
        <v>2</v>
      </c>
    </row>
    <row r="78" ht="15" customHeight="1" s="91">
      <c r="A78" s="90" t="inlineStr">
        <is>
          <t>Emory Goizueta</t>
        </is>
      </c>
      <c r="B78" s="90" t="inlineStr">
        <is>
          <t>Accounting</t>
        </is>
      </c>
      <c r="C78" s="90" t="n">
        <v>9</v>
      </c>
      <c r="D78" s="90" t="n">
        <v>10</v>
      </c>
      <c r="E78" s="90" t="inlineStr">
        <is>
          <t>Close (±1-2)</t>
        </is>
      </c>
      <c r="F78" s="90" t="n">
        <v>1</v>
      </c>
    </row>
    <row r="79" ht="15" customHeight="1" s="91">
      <c r="A79" s="90" t="inlineStr">
        <is>
          <t>Emory Goizueta</t>
        </is>
      </c>
      <c r="B79" s="90" t="inlineStr">
        <is>
          <t>Finance</t>
        </is>
      </c>
      <c r="C79" s="90" t="n">
        <v>8</v>
      </c>
      <c r="D79" s="90" t="n">
        <v>12</v>
      </c>
      <c r="E79" s="90" t="inlineStr">
        <is>
          <t>Discrepancy</t>
        </is>
      </c>
      <c r="F79" s="90" t="n">
        <v>4</v>
      </c>
    </row>
    <row r="80" ht="15" customHeight="1" s="91">
      <c r="A80" s="90" t="inlineStr">
        <is>
          <t>Emory Goizueta</t>
        </is>
      </c>
      <c r="B80" s="90" t="inlineStr">
        <is>
          <t>Information Systems &amp; Operations Management</t>
        </is>
      </c>
      <c r="C80" s="90" t="n">
        <v>11</v>
      </c>
      <c r="D80" s="90" t="n">
        <v>22</v>
      </c>
      <c r="E80" s="90" t="inlineStr">
        <is>
          <t>Discrepancy</t>
        </is>
      </c>
      <c r="F80" s="90" t="n">
        <v>11</v>
      </c>
    </row>
    <row r="81" ht="15" customHeight="1" s="91">
      <c r="A81" s="90" t="inlineStr">
        <is>
          <t>Emory Goizueta</t>
        </is>
      </c>
      <c r="B81" s="90" t="inlineStr">
        <is>
          <t>Marketing</t>
        </is>
      </c>
      <c r="C81" s="90" t="n">
        <v>8</v>
      </c>
      <c r="D81" s="90" t="n">
        <v>10</v>
      </c>
      <c r="E81" s="90" t="inlineStr">
        <is>
          <t>Close (±1-2)</t>
        </is>
      </c>
      <c r="F81" s="90" t="n">
        <v>2</v>
      </c>
    </row>
    <row r="82" ht="15" customHeight="1" s="91">
      <c r="A82" s="90" t="inlineStr">
        <is>
          <t>Emory Goizueta</t>
        </is>
      </c>
      <c r="B82" s="90" t="inlineStr">
        <is>
          <t>Organization &amp; Management</t>
        </is>
      </c>
      <c r="C82" s="90" t="n">
        <v>9</v>
      </c>
      <c r="D82" s="90" t="n">
        <v>11</v>
      </c>
      <c r="E82" s="90" t="inlineStr">
        <is>
          <t>Close (±1-2)</t>
        </is>
      </c>
      <c r="F82" s="90" t="n">
        <v>2</v>
      </c>
    </row>
    <row r="83" ht="15" customHeight="1" s="91">
      <c r="A83" s="90" t="inlineStr">
        <is>
          <t>GT Scheller</t>
        </is>
      </c>
      <c r="B83" s="90" t="inlineStr">
        <is>
          <t>Accounting</t>
        </is>
      </c>
      <c r="C83" s="90" t="n">
        <v>9</v>
      </c>
      <c r="D83" s="90" t="n">
        <v>10</v>
      </c>
      <c r="E83" s="90" t="inlineStr">
        <is>
          <t>Close (±1-2)</t>
        </is>
      </c>
      <c r="F83" s="90" t="n">
        <v>1</v>
      </c>
    </row>
    <row r="84" ht="15" customHeight="1" s="91">
      <c r="A84" s="90" t="inlineStr">
        <is>
          <t>GT Scheller</t>
        </is>
      </c>
      <c r="B84" s="90" t="inlineStr">
        <is>
          <t>Finance</t>
        </is>
      </c>
      <c r="C84" s="90" t="n">
        <v>10</v>
      </c>
      <c r="D84" s="90" t="n">
        <v>13</v>
      </c>
      <c r="E84" s="90" t="inlineStr">
        <is>
          <t>Discrepancy</t>
        </is>
      </c>
      <c r="F84" s="90" t="n">
        <v>3</v>
      </c>
    </row>
    <row r="85" ht="15" customHeight="1" s="91">
      <c r="A85" s="90" t="inlineStr">
        <is>
          <t>GT Scheller</t>
        </is>
      </c>
      <c r="B85" s="90" t="inlineStr">
        <is>
          <t>IT Management</t>
        </is>
      </c>
      <c r="C85" s="90" t="n">
        <v>9</v>
      </c>
      <c r="D85" s="90" t="n">
        <v>12</v>
      </c>
      <c r="E85" s="90" t="inlineStr">
        <is>
          <t>Discrepancy</t>
        </is>
      </c>
      <c r="F85" s="90" t="n">
        <v>3</v>
      </c>
    </row>
    <row r="86" ht="15" customHeight="1" s="91">
      <c r="A86" s="90" t="inlineStr">
        <is>
          <t>GT Scheller</t>
        </is>
      </c>
      <c r="B86" s="90" t="inlineStr">
        <is>
          <t>Law and Ethics</t>
        </is>
      </c>
      <c r="C86" s="90" t="n">
        <v>3</v>
      </c>
      <c r="D86" s="90" t="n">
        <v>3</v>
      </c>
      <c r="E86" s="90" t="inlineStr">
        <is>
          <t>Confirmed</t>
        </is>
      </c>
      <c r="F86" s="90" t="n">
        <v>0</v>
      </c>
    </row>
    <row r="87" ht="15" customHeight="1" s="91">
      <c r="A87" s="90" t="inlineStr">
        <is>
          <t>GT Scheller</t>
        </is>
      </c>
      <c r="B87" s="90" t="inlineStr">
        <is>
          <t>Marketing</t>
        </is>
      </c>
      <c r="C87" s="90" t="n">
        <v>8</v>
      </c>
      <c r="D87" s="90" t="n">
        <v>10</v>
      </c>
      <c r="E87" s="90" t="inlineStr">
        <is>
          <t>Close (±1-2)</t>
        </is>
      </c>
      <c r="F87" s="90" t="n">
        <v>2</v>
      </c>
    </row>
    <row r="88" ht="15" customHeight="1" s="91">
      <c r="A88" s="90" t="inlineStr">
        <is>
          <t>GT Scheller</t>
        </is>
      </c>
      <c r="B88" s="90" t="inlineStr">
        <is>
          <t>Operations Management</t>
        </is>
      </c>
      <c r="C88" s="90" t="n">
        <v>9</v>
      </c>
      <c r="D88" s="90" t="n">
        <v>11</v>
      </c>
      <c r="E88" s="90" t="inlineStr">
        <is>
          <t>Close (±1-2)</t>
        </is>
      </c>
      <c r="F88" s="90" t="n">
        <v>2</v>
      </c>
    </row>
    <row r="89" ht="15" customHeight="1" s="91">
      <c r="A89" s="90" t="inlineStr">
        <is>
          <t>GT Scheller</t>
        </is>
      </c>
      <c r="B89" s="90" t="inlineStr">
        <is>
          <t>Organizational Behavior</t>
        </is>
      </c>
      <c r="C89" s="90" t="n">
        <v>5</v>
      </c>
      <c r="D89" s="90" t="n">
        <v>9</v>
      </c>
      <c r="E89" s="90" t="inlineStr">
        <is>
          <t>Discrepancy</t>
        </is>
      </c>
      <c r="F89" s="90" t="n">
        <v>4</v>
      </c>
    </row>
    <row r="90" ht="15" customHeight="1" s="91">
      <c r="A90" s="90" t="inlineStr">
        <is>
          <t>GT Scheller</t>
        </is>
      </c>
      <c r="B90" s="90" t="inlineStr">
        <is>
          <t>Strategy and Innovation</t>
        </is>
      </c>
      <c r="C90" s="90" t="n">
        <v>8</v>
      </c>
      <c r="D90" s="90" t="n">
        <v>10</v>
      </c>
      <c r="E90" s="90" t="inlineStr">
        <is>
          <t>Close (±1-2)</t>
        </is>
      </c>
      <c r="F90" s="90" t="n">
        <v>2</v>
      </c>
    </row>
    <row r="91" ht="15" customHeight="1" s="91">
      <c r="A91" s="90" t="inlineStr">
        <is>
          <t>Georgetown McDonough</t>
        </is>
      </c>
      <c r="B91" s="90" t="inlineStr">
        <is>
          <t>Accounting and Business Law</t>
        </is>
      </c>
      <c r="C91" s="90" t="n">
        <v>9</v>
      </c>
      <c r="D91" s="90" t="n">
        <v>9</v>
      </c>
      <c r="E91" s="90" t="inlineStr">
        <is>
          <t>Confirmed</t>
        </is>
      </c>
      <c r="F91" s="90" t="n">
        <v>0</v>
      </c>
    </row>
    <row r="92" ht="15" customHeight="1" s="91">
      <c r="A92" s="90" t="inlineStr">
        <is>
          <t>Georgetown McDonough</t>
        </is>
      </c>
      <c r="B92" s="90" t="inlineStr">
        <is>
          <t>Finance</t>
        </is>
      </c>
      <c r="C92" s="90" t="n">
        <v>15</v>
      </c>
      <c r="D92" s="90" t="n">
        <v>17</v>
      </c>
      <c r="E92" s="90" t="inlineStr">
        <is>
          <t>Close (±1-2)</t>
        </is>
      </c>
      <c r="F92" s="90" t="n">
        <v>2</v>
      </c>
    </row>
    <row r="93" ht="15" customHeight="1" s="91">
      <c r="A93" s="90" t="inlineStr">
        <is>
          <t>Georgetown McDonough</t>
        </is>
      </c>
      <c r="B93" s="90" t="inlineStr">
        <is>
          <t>Management</t>
        </is>
      </c>
      <c r="C93" s="90" t="n">
        <v>11</v>
      </c>
      <c r="D93" s="90" t="n">
        <v>11</v>
      </c>
      <c r="E93" s="90" t="inlineStr">
        <is>
          <t>Confirmed</t>
        </is>
      </c>
      <c r="F93" s="90" t="n">
        <v>0</v>
      </c>
    </row>
    <row r="94" ht="15" customHeight="1" s="91">
      <c r="A94" s="90" t="inlineStr">
        <is>
          <t>Georgetown McDonough</t>
        </is>
      </c>
      <c r="B94" s="90" t="inlineStr">
        <is>
          <t>Marketing</t>
        </is>
      </c>
      <c r="C94" s="90" t="n">
        <v>12</v>
      </c>
      <c r="D94" s="90" t="n">
        <v>12</v>
      </c>
      <c r="E94" s="90" t="inlineStr">
        <is>
          <t>Confirmed</t>
        </is>
      </c>
      <c r="F94" s="90" t="n">
        <v>0</v>
      </c>
    </row>
    <row r="95" ht="15" customHeight="1" s="91">
      <c r="A95" s="90" t="inlineStr">
        <is>
          <t>Georgetown McDonough</t>
        </is>
      </c>
      <c r="B95" s="90" t="inlineStr">
        <is>
          <t>Operations and Analytics</t>
        </is>
      </c>
      <c r="C95" s="90" t="n">
        <v>14</v>
      </c>
      <c r="D95" s="90" t="n">
        <v>16</v>
      </c>
      <c r="E95" s="90" t="inlineStr">
        <is>
          <t>Close (±1-2)</t>
        </is>
      </c>
      <c r="F95" s="90" t="n">
        <v>2</v>
      </c>
    </row>
    <row r="96" ht="15" customHeight="1" s="91">
      <c r="A96" s="90" t="inlineStr">
        <is>
          <t>Georgetown McDonough</t>
        </is>
      </c>
      <c r="B96" s="90" t="inlineStr">
        <is>
          <t>Strategy, Economics, Ethics, and Public Policy</t>
        </is>
      </c>
      <c r="C96" s="90" t="n">
        <v>18</v>
      </c>
      <c r="D96" s="90" t="n">
        <v>20</v>
      </c>
      <c r="E96" s="90" t="inlineStr">
        <is>
          <t>Close (±1-2)</t>
        </is>
      </c>
      <c r="F96" s="90" t="n">
        <v>2</v>
      </c>
    </row>
    <row r="97" ht="15" customHeight="1" s="91">
      <c r="A97" s="90" t="inlineStr">
        <is>
          <t>Harvard HBS</t>
        </is>
      </c>
      <c r="B97" s="90" t="inlineStr">
        <is>
          <t>Accounting &amp; Management</t>
        </is>
      </c>
      <c r="C97" s="90" t="n">
        <v>17</v>
      </c>
      <c r="D97" s="90" t="n">
        <v>13</v>
      </c>
      <c r="E97" s="90" t="inlineStr">
        <is>
          <t>Discrepancy</t>
        </is>
      </c>
      <c r="F97" s="90" t="n">
        <v>-4</v>
      </c>
    </row>
    <row r="98" ht="15" customHeight="1" s="91">
      <c r="A98" s="90" t="inlineStr">
        <is>
          <t>Harvard HBS</t>
        </is>
      </c>
      <c r="B98" s="90" t="inlineStr">
        <is>
          <t>Business, Government &amp; the International Economy</t>
        </is>
      </c>
      <c r="C98" s="90" t="n">
        <v>23</v>
      </c>
      <c r="D98" s="90" t="n">
        <v>18</v>
      </c>
      <c r="E98" s="90" t="inlineStr">
        <is>
          <t>Discrepancy</t>
        </is>
      </c>
      <c r="F98" s="90" t="n">
        <v>-5</v>
      </c>
    </row>
    <row r="99" ht="15" customHeight="1" s="91">
      <c r="A99" s="90" t="inlineStr">
        <is>
          <t>Harvard HBS</t>
        </is>
      </c>
      <c r="B99" s="90" t="inlineStr">
        <is>
          <t>Entrepreneurial Management</t>
        </is>
      </c>
      <c r="C99" s="90" t="n">
        <v>26</v>
      </c>
      <c r="D99" s="90" t="n">
        <v>26</v>
      </c>
      <c r="E99" s="90" t="inlineStr">
        <is>
          <t>Confirmed</t>
        </is>
      </c>
      <c r="F99" s="90" t="n">
        <v>0</v>
      </c>
    </row>
    <row r="100" ht="15" customHeight="1" s="91">
      <c r="A100" s="90" t="inlineStr">
        <is>
          <t>Harvard HBS</t>
        </is>
      </c>
      <c r="B100" s="90" t="inlineStr">
        <is>
          <t>Finance</t>
        </is>
      </c>
      <c r="C100" s="90" t="n">
        <v>24</v>
      </c>
      <c r="D100" s="90" t="n">
        <v>27</v>
      </c>
      <c r="E100" s="90" t="inlineStr">
        <is>
          <t>Discrepancy</t>
        </is>
      </c>
      <c r="F100" s="90" t="n">
        <v>3</v>
      </c>
    </row>
    <row r="101" ht="15" customHeight="1" s="91">
      <c r="A101" s="90" t="inlineStr">
        <is>
          <t>Harvard HBS</t>
        </is>
      </c>
      <c r="B101" s="90" t="inlineStr">
        <is>
          <t>General Management</t>
        </is>
      </c>
      <c r="C101" s="90" t="n">
        <v>13</v>
      </c>
      <c r="D101" s="90" t="n">
        <v>10</v>
      </c>
      <c r="E101" s="90" t="inlineStr">
        <is>
          <t>Discrepancy</t>
        </is>
      </c>
      <c r="F101" s="90" t="n">
        <v>-3</v>
      </c>
    </row>
    <row r="102" ht="15" customHeight="1" s="91">
      <c r="A102" s="90" t="inlineStr">
        <is>
          <t>Harvard HBS</t>
        </is>
      </c>
      <c r="B102" s="90" t="inlineStr">
        <is>
          <t>Marketing</t>
        </is>
      </c>
      <c r="C102" s="90" t="n">
        <v>15</v>
      </c>
      <c r="D102" s="90" t="n">
        <v>15</v>
      </c>
      <c r="E102" s="90" t="inlineStr">
        <is>
          <t>Confirmed</t>
        </is>
      </c>
      <c r="F102" s="90" t="n">
        <v>0</v>
      </c>
    </row>
    <row r="103" ht="15" customHeight="1" s="91">
      <c r="A103" s="90" t="inlineStr">
        <is>
          <t>Harvard HBS</t>
        </is>
      </c>
      <c r="B103" s="90" t="inlineStr">
        <is>
          <t>Negotiation, Organizations &amp; Markets</t>
        </is>
      </c>
      <c r="C103" s="90" t="n">
        <v>22</v>
      </c>
      <c r="D103" s="90" t="n">
        <v>21</v>
      </c>
      <c r="E103" s="90" t="inlineStr">
        <is>
          <t>Close (±1-2)</t>
        </is>
      </c>
      <c r="F103" s="90" t="n">
        <v>-1</v>
      </c>
    </row>
    <row r="104" ht="15" customHeight="1" s="91">
      <c r="A104" s="90" t="inlineStr">
        <is>
          <t>Harvard HBS</t>
        </is>
      </c>
      <c r="B104" s="90" t="inlineStr">
        <is>
          <t>Organizational Behavior</t>
        </is>
      </c>
      <c r="C104" s="90" t="n">
        <v>19</v>
      </c>
      <c r="D104" s="90" t="n">
        <v>19</v>
      </c>
      <c r="E104" s="90" t="inlineStr">
        <is>
          <t>Confirmed</t>
        </is>
      </c>
      <c r="F104" s="90" t="n">
        <v>0</v>
      </c>
    </row>
    <row r="105" ht="15" customHeight="1" s="91">
      <c r="A105" s="90" t="inlineStr">
        <is>
          <t>Harvard HBS</t>
        </is>
      </c>
      <c r="B105" s="90" t="inlineStr">
        <is>
          <t>Strategy</t>
        </is>
      </c>
      <c r="C105" s="90" t="n">
        <v>18</v>
      </c>
      <c r="D105" s="90" t="n">
        <v>19</v>
      </c>
      <c r="E105" s="90" t="inlineStr">
        <is>
          <t>Close (±1-2)</t>
        </is>
      </c>
      <c r="F105" s="90" t="n">
        <v>1</v>
      </c>
    </row>
    <row r="106" ht="15" customHeight="1" s="91">
      <c r="A106" s="90" t="inlineStr">
        <is>
          <t>Harvard HBS</t>
        </is>
      </c>
      <c r="B106" s="90" t="inlineStr">
        <is>
          <t>Technology &amp; Operations Management</t>
        </is>
      </c>
      <c r="C106" s="90" t="n">
        <v>24</v>
      </c>
      <c r="D106" s="90" t="n">
        <v>22</v>
      </c>
      <c r="E106" s="90" t="inlineStr">
        <is>
          <t>Close (±1-2)</t>
        </is>
      </c>
      <c r="F106" s="90" t="n">
        <v>-2</v>
      </c>
    </row>
    <row r="107" ht="15" customHeight="1" s="91">
      <c r="A107" s="90" t="inlineStr">
        <is>
          <t>Illinois Gies</t>
        </is>
      </c>
      <c r="B107" s="90" t="inlineStr">
        <is>
          <t>Accountancy</t>
        </is>
      </c>
      <c r="C107" s="90" t="n">
        <v>37</v>
      </c>
      <c r="D107" s="90" t="n">
        <v>39</v>
      </c>
      <c r="E107" s="90" t="inlineStr">
        <is>
          <t>Close (±1-2)</t>
        </is>
      </c>
      <c r="F107" s="90" t="n">
        <v>2</v>
      </c>
    </row>
    <row r="108" ht="15" customHeight="1" s="91">
      <c r="A108" s="90" t="inlineStr">
        <is>
          <t>Illinois Gies</t>
        </is>
      </c>
      <c r="B108" s="90" t="inlineStr">
        <is>
          <t>Finance</t>
        </is>
      </c>
      <c r="C108" s="90" t="n">
        <v>25</v>
      </c>
      <c r="D108" s="90" t="n">
        <v>25</v>
      </c>
      <c r="E108" s="90" t="inlineStr">
        <is>
          <t>Confirmed</t>
        </is>
      </c>
      <c r="F108" s="90" t="n">
        <v>0</v>
      </c>
    </row>
    <row r="109" ht="15" customHeight="1" s="91">
      <c r="A109" s="90" t="inlineStr">
        <is>
          <t>Illinois Gies</t>
        </is>
      </c>
      <c r="B109" s="90" t="inlineStr">
        <is>
          <t>IS/Operations/Supply Chain/Analytics</t>
        </is>
      </c>
      <c r="C109" s="90" t="n">
        <v>14</v>
      </c>
      <c r="D109" s="90" t="n">
        <v>17</v>
      </c>
      <c r="E109" s="90" t="inlineStr">
        <is>
          <t>Discrepancy</t>
        </is>
      </c>
      <c r="F109" s="90" t="n">
        <v>3</v>
      </c>
    </row>
    <row r="110" ht="15" customHeight="1" s="91">
      <c r="A110" s="90" t="inlineStr">
        <is>
          <t>Illinois Gies</t>
        </is>
      </c>
      <c r="B110" s="90" t="inlineStr">
        <is>
          <t>Marketing</t>
        </is>
      </c>
      <c r="C110" s="90" t="n">
        <v>12</v>
      </c>
      <c r="D110" s="90" t="n">
        <v>13</v>
      </c>
      <c r="E110" s="90" t="inlineStr">
        <is>
          <t>Close (±1-2)</t>
        </is>
      </c>
      <c r="F110" s="90" t="n">
        <v>1</v>
      </c>
    </row>
    <row r="111" ht="15" customHeight="1" s="91">
      <c r="A111" s="90" t="inlineStr">
        <is>
          <t>Illinois Gies</t>
        </is>
      </c>
      <c r="B111" s="90" t="inlineStr">
        <is>
          <t>OB/Business Law</t>
        </is>
      </c>
      <c r="C111" s="90" t="n">
        <v>14</v>
      </c>
      <c r="D111" s="90" t="n">
        <v>14</v>
      </c>
      <c r="E111" s="90" t="inlineStr">
        <is>
          <t>Confirmed</t>
        </is>
      </c>
      <c r="F111" s="90" t="n">
        <v>0</v>
      </c>
    </row>
    <row r="112" ht="15" customHeight="1" s="91">
      <c r="A112" s="90" t="inlineStr">
        <is>
          <t>Illinois Gies</t>
        </is>
      </c>
      <c r="B112" s="90" t="inlineStr">
        <is>
          <t>Strategy &amp; Entrepreneurship</t>
        </is>
      </c>
      <c r="C112" s="90" t="n">
        <v>16</v>
      </c>
      <c r="D112" s="90" t="n">
        <v>16</v>
      </c>
      <c r="E112" s="90" t="inlineStr">
        <is>
          <t>Confirmed</t>
        </is>
      </c>
      <c r="F112" s="90" t="n">
        <v>0</v>
      </c>
    </row>
    <row r="113" ht="15" customHeight="1" s="91">
      <c r="A113" s="90" t="inlineStr">
        <is>
          <t>Indiana Kelley</t>
        </is>
      </c>
      <c r="B113" s="90" t="inlineStr">
        <is>
          <t>Accounting</t>
        </is>
      </c>
      <c r="C113" s="90" t="n">
        <v>31</v>
      </c>
      <c r="D113" s="90" t="n">
        <v>31</v>
      </c>
      <c r="E113" s="90" t="inlineStr">
        <is>
          <t>Confirmed</t>
        </is>
      </c>
      <c r="F113" s="90" t="n">
        <v>0</v>
      </c>
    </row>
    <row r="114" ht="15" customHeight="1" s="91">
      <c r="A114" s="90" t="inlineStr">
        <is>
          <t>Indiana Kelley</t>
        </is>
      </c>
      <c r="B114" s="90" t="inlineStr">
        <is>
          <t>Business Economics &amp; Public Policy</t>
        </is>
      </c>
      <c r="C114" s="90" t="n">
        <v>18</v>
      </c>
      <c r="D114" s="90" t="n">
        <v>18</v>
      </c>
      <c r="E114" s="90" t="inlineStr">
        <is>
          <t>Confirmed</t>
        </is>
      </c>
      <c r="F114" s="90" t="n">
        <v>0</v>
      </c>
    </row>
    <row r="115" ht="15" customHeight="1" s="91">
      <c r="A115" s="90" t="inlineStr">
        <is>
          <t>Indiana Kelley</t>
        </is>
      </c>
      <c r="B115" s="90" t="inlineStr">
        <is>
          <t>Business Law &amp; Ethics</t>
        </is>
      </c>
      <c r="C115" s="90" t="n">
        <v>18</v>
      </c>
      <c r="D115" s="90" t="n">
        <v>16</v>
      </c>
      <c r="E115" s="90" t="inlineStr">
        <is>
          <t>Close (±1-2)</t>
        </is>
      </c>
      <c r="F115" s="90" t="n">
        <v>-2</v>
      </c>
    </row>
    <row r="116" ht="15" customHeight="1" s="91">
      <c r="A116" s="90" t="inlineStr">
        <is>
          <t>Indiana Kelley</t>
        </is>
      </c>
      <c r="B116" s="90" t="inlineStr">
        <is>
          <t>Finance</t>
        </is>
      </c>
      <c r="C116" s="90" t="n">
        <v>31</v>
      </c>
      <c r="D116" s="90" t="n">
        <v>30</v>
      </c>
      <c r="E116" s="90" t="inlineStr">
        <is>
          <t>Close (±1-2)</t>
        </is>
      </c>
      <c r="F116" s="90" t="n">
        <v>-1</v>
      </c>
    </row>
    <row r="117" ht="15" customHeight="1" s="91">
      <c r="A117" s="90" t="inlineStr">
        <is>
          <t>Indiana Kelley</t>
        </is>
      </c>
      <c r="B117" s="90" t="inlineStr">
        <is>
          <t>Management and Entrepreneurship</t>
        </is>
      </c>
      <c r="C117" s="90" t="n">
        <v>34</v>
      </c>
      <c r="D117" s="90" t="n">
        <v>34</v>
      </c>
      <c r="E117" s="90" t="inlineStr">
        <is>
          <t>Confirmed</t>
        </is>
      </c>
      <c r="F117" s="90" t="n">
        <v>0</v>
      </c>
    </row>
    <row r="118" ht="15" customHeight="1" s="91">
      <c r="A118" s="90" t="inlineStr">
        <is>
          <t>Indiana Kelley</t>
        </is>
      </c>
      <c r="B118" s="90" t="inlineStr">
        <is>
          <t>Marketing</t>
        </is>
      </c>
      <c r="C118" s="90" t="n">
        <v>25</v>
      </c>
      <c r="D118" s="90" t="n">
        <v>25</v>
      </c>
      <c r="E118" s="90" t="inlineStr">
        <is>
          <t>Confirmed</t>
        </is>
      </c>
      <c r="F118" s="90" t="n">
        <v>0</v>
      </c>
    </row>
    <row r="119" ht="15" customHeight="1" s="91">
      <c r="A119" s="90" t="inlineStr">
        <is>
          <t>Indiana Kelley</t>
        </is>
      </c>
      <c r="B119" s="90" t="inlineStr">
        <is>
          <t>Operations &amp; Decision Technologies</t>
        </is>
      </c>
      <c r="C119" s="90" t="n">
        <v>39</v>
      </c>
      <c r="D119" s="90" t="n">
        <v>37</v>
      </c>
      <c r="E119" s="90" t="inlineStr">
        <is>
          <t>Close (±1-2)</t>
        </is>
      </c>
      <c r="F119" s="90" t="n">
        <v>-2</v>
      </c>
    </row>
    <row r="120" ht="15" customHeight="1" s="91">
      <c r="A120" s="90" t="inlineStr">
        <is>
          <t>Kellogg</t>
        </is>
      </c>
      <c r="B120" s="90" t="inlineStr">
        <is>
          <t>Accounting Information &amp; Management</t>
        </is>
      </c>
      <c r="C120" s="90" t="n">
        <v>10</v>
      </c>
      <c r="D120" s="90" t="n">
        <v>11</v>
      </c>
      <c r="E120" s="90" t="inlineStr">
        <is>
          <t>Close (±1-2)</t>
        </is>
      </c>
      <c r="F120" s="90" t="n">
        <v>1</v>
      </c>
    </row>
    <row r="121" ht="15" customHeight="1" s="91">
      <c r="A121" s="90" t="inlineStr">
        <is>
          <t>Kellogg</t>
        </is>
      </c>
      <c r="B121" s="90" t="inlineStr">
        <is>
          <t>Finance</t>
        </is>
      </c>
      <c r="C121" s="90" t="n">
        <v>26</v>
      </c>
      <c r="D121" s="90" t="n">
        <v>28</v>
      </c>
      <c r="E121" s="90" t="inlineStr">
        <is>
          <t>Close (±1-2)</t>
        </is>
      </c>
      <c r="F121" s="90" t="n">
        <v>2</v>
      </c>
    </row>
    <row r="122" ht="15" customHeight="1" s="91">
      <c r="A122" s="90" t="inlineStr">
        <is>
          <t>Kellogg</t>
        </is>
      </c>
      <c r="B122" s="90" t="inlineStr">
        <is>
          <t>Management &amp; Organizations</t>
        </is>
      </c>
      <c r="C122" s="90" t="n">
        <v>25</v>
      </c>
      <c r="D122" s="90" t="n">
        <v>25</v>
      </c>
      <c r="E122" s="90" t="inlineStr">
        <is>
          <t>Confirmed</t>
        </is>
      </c>
      <c r="F122" s="90" t="n">
        <v>0</v>
      </c>
    </row>
    <row r="123" ht="15" customHeight="1" s="91">
      <c r="A123" s="90" t="inlineStr">
        <is>
          <t>Kellogg</t>
        </is>
      </c>
      <c r="B123" s="90" t="inlineStr">
        <is>
          <t>Managerial Economics &amp; Decision Sciences</t>
        </is>
      </c>
      <c r="C123" s="90" t="n">
        <v>20</v>
      </c>
      <c r="D123" s="90" t="n">
        <v>19</v>
      </c>
      <c r="E123" s="90" t="inlineStr">
        <is>
          <t>Close (±1-2)</t>
        </is>
      </c>
      <c r="F123" s="90" t="n">
        <v>-1</v>
      </c>
    </row>
    <row r="124" ht="15" customHeight="1" s="91">
      <c r="A124" s="90" t="inlineStr">
        <is>
          <t>Kellogg</t>
        </is>
      </c>
      <c r="B124" s="90" t="inlineStr">
        <is>
          <t>Marketing</t>
        </is>
      </c>
      <c r="C124" s="90" t="n">
        <v>23</v>
      </c>
      <c r="D124" s="90" t="n">
        <v>23</v>
      </c>
      <c r="E124" s="90" t="inlineStr">
        <is>
          <t>Confirmed</t>
        </is>
      </c>
      <c r="F124" s="90" t="n">
        <v>0</v>
      </c>
    </row>
    <row r="125" ht="15" customHeight="1" s="91">
      <c r="A125" s="90" t="inlineStr">
        <is>
          <t>Kellogg</t>
        </is>
      </c>
      <c r="B125" s="90" t="inlineStr">
        <is>
          <t>Operations</t>
        </is>
      </c>
      <c r="C125" s="90" t="n">
        <v>13</v>
      </c>
      <c r="D125" s="90" t="n">
        <v>14</v>
      </c>
      <c r="E125" s="90" t="inlineStr">
        <is>
          <t>Close (±1-2)</t>
        </is>
      </c>
      <c r="F125" s="90" t="n">
        <v>1</v>
      </c>
    </row>
    <row r="126" ht="15" customHeight="1" s="91">
      <c r="A126" s="90" t="inlineStr">
        <is>
          <t>Kellogg</t>
        </is>
      </c>
      <c r="B126" s="90" t="inlineStr">
        <is>
          <t>Strategy</t>
        </is>
      </c>
      <c r="C126" s="90" t="n">
        <v>24</v>
      </c>
      <c r="D126" s="90" t="n">
        <v>25</v>
      </c>
      <c r="E126" s="90" t="inlineStr">
        <is>
          <t>Close (±1-2)</t>
        </is>
      </c>
      <c r="F126" s="90" t="n">
        <v>1</v>
      </c>
    </row>
    <row r="127" ht="15" customHeight="1" s="91">
      <c r="A127" s="90" t="inlineStr">
        <is>
          <t>MIT Sloan</t>
        </is>
      </c>
      <c r="B127" s="90" t="inlineStr">
        <is>
          <t>Accounting</t>
        </is>
      </c>
      <c r="C127" s="90" t="n">
        <v>9</v>
      </c>
      <c r="D127" s="90" t="n">
        <v>9</v>
      </c>
      <c r="E127" s="90" t="inlineStr">
        <is>
          <t>Confirmed</t>
        </is>
      </c>
      <c r="F127" s="90" t="n">
        <v>0</v>
      </c>
    </row>
    <row r="128" ht="15" customHeight="1" s="91">
      <c r="A128" s="90" t="inlineStr">
        <is>
          <t>MIT Sloan</t>
        </is>
      </c>
      <c r="B128" s="90" t="inlineStr">
        <is>
          <t>Applied Economics</t>
        </is>
      </c>
      <c r="C128" s="90" t="n">
        <v>18</v>
      </c>
      <c r="D128" s="90" t="n">
        <v>15</v>
      </c>
      <c r="E128" s="90" t="inlineStr">
        <is>
          <t>Discrepancy</t>
        </is>
      </c>
      <c r="F128" s="90" t="n">
        <v>-3</v>
      </c>
    </row>
    <row r="129" ht="15" customHeight="1" s="91">
      <c r="A129" s="90" t="inlineStr">
        <is>
          <t>MIT Sloan</t>
        </is>
      </c>
      <c r="B129" s="90" t="inlineStr">
        <is>
          <t>Finance</t>
        </is>
      </c>
      <c r="C129" s="90" t="n">
        <v>21</v>
      </c>
      <c r="D129" s="90" t="n">
        <v>21</v>
      </c>
      <c r="E129" s="90" t="inlineStr">
        <is>
          <t>Confirmed</t>
        </is>
      </c>
      <c r="F129" s="90" t="n">
        <v>0</v>
      </c>
    </row>
    <row r="130" ht="15" customHeight="1" s="91">
      <c r="A130" s="90" t="inlineStr">
        <is>
          <t>MIT Sloan</t>
        </is>
      </c>
      <c r="B130" s="90" t="inlineStr">
        <is>
          <t>Global Economics &amp; Management</t>
        </is>
      </c>
      <c r="C130" s="90" t="n">
        <v>5</v>
      </c>
      <c r="D130" s="90" t="n">
        <v>5</v>
      </c>
      <c r="E130" s="90" t="inlineStr">
        <is>
          <t>Confirmed</t>
        </is>
      </c>
      <c r="F130" s="90" t="n">
        <v>0</v>
      </c>
    </row>
    <row r="131" ht="15" customHeight="1" s="91">
      <c r="A131" s="90" t="inlineStr">
        <is>
          <t>MIT Sloan</t>
        </is>
      </c>
      <c r="B131" s="90" t="inlineStr">
        <is>
          <t>Information Technology</t>
        </is>
      </c>
      <c r="C131" s="90" t="n">
        <v>13</v>
      </c>
      <c r="D131" s="90" t="n">
        <v>9</v>
      </c>
      <c r="E131" s="90" t="inlineStr">
        <is>
          <t>Discrepancy</t>
        </is>
      </c>
      <c r="F131" s="90" t="n">
        <v>-4</v>
      </c>
    </row>
    <row r="132" ht="15" customHeight="1" s="91">
      <c r="A132" s="90" t="inlineStr">
        <is>
          <t>MIT Sloan</t>
        </is>
      </c>
      <c r="B132" s="90" t="inlineStr">
        <is>
          <t>Marketing</t>
        </is>
      </c>
      <c r="C132" s="90" t="n">
        <v>7</v>
      </c>
      <c r="D132" s="90" t="n">
        <v>9</v>
      </c>
      <c r="E132" s="90" t="inlineStr">
        <is>
          <t>Close (±1-2)</t>
        </is>
      </c>
      <c r="F132" s="90" t="n">
        <v>2</v>
      </c>
    </row>
    <row r="133" ht="15" customHeight="1" s="91">
      <c r="A133" s="90" t="inlineStr">
        <is>
          <t>MIT Sloan</t>
        </is>
      </c>
      <c r="B133" s="90" t="inlineStr">
        <is>
          <t>Operations Management</t>
        </is>
      </c>
      <c r="C133" s="90" t="n">
        <v>11</v>
      </c>
      <c r="D133" s="90" t="n">
        <v>12</v>
      </c>
      <c r="E133" s="90" t="inlineStr">
        <is>
          <t>Close (±1-2)</t>
        </is>
      </c>
      <c r="F133" s="90" t="n">
        <v>1</v>
      </c>
    </row>
    <row r="134" ht="15" customHeight="1" s="91">
      <c r="A134" s="90" t="inlineStr">
        <is>
          <t>MIT Sloan</t>
        </is>
      </c>
      <c r="B134" s="90" t="inlineStr">
        <is>
          <t>Operations Research &amp; Statistics</t>
        </is>
      </c>
      <c r="C134" s="90" t="n">
        <v>14</v>
      </c>
      <c r="D134" s="90" t="n">
        <v>14</v>
      </c>
      <c r="E134" s="90" t="inlineStr">
        <is>
          <t>Confirmed</t>
        </is>
      </c>
      <c r="F134" s="90" t="n">
        <v>0</v>
      </c>
    </row>
    <row r="135" ht="15" customHeight="1" s="91">
      <c r="A135" s="90" t="inlineStr">
        <is>
          <t>MIT Sloan</t>
        </is>
      </c>
      <c r="B135" s="90" t="inlineStr">
        <is>
          <t>System Dynamics</t>
        </is>
      </c>
      <c r="C135" s="90" t="n">
        <v>5</v>
      </c>
      <c r="D135" s="90" t="n">
        <v>5</v>
      </c>
      <c r="E135" s="90" t="inlineStr">
        <is>
          <t>Confirmed</t>
        </is>
      </c>
      <c r="F135" s="90" t="n">
        <v>0</v>
      </c>
    </row>
    <row r="136" ht="15" customHeight="1" s="91">
      <c r="A136" s="90" t="inlineStr">
        <is>
          <t>MIT Sloan</t>
        </is>
      </c>
      <c r="B136" s="90" t="inlineStr">
        <is>
          <t>Technological Innovation, Entrepreneurship &amp; Strategic Management</t>
        </is>
      </c>
      <c r="C136" s="90" t="n">
        <v>11</v>
      </c>
      <c r="D136" s="90" t="n">
        <v>11</v>
      </c>
      <c r="E136" s="90" t="inlineStr">
        <is>
          <t>Confirmed</t>
        </is>
      </c>
      <c r="F136" s="90" t="n">
        <v>0</v>
      </c>
    </row>
    <row r="137" ht="15" customHeight="1" s="91">
      <c r="A137" s="90" t="inlineStr">
        <is>
          <t>MIT Sloan</t>
        </is>
      </c>
      <c r="B137" s="90" t="inlineStr">
        <is>
          <t>Work &amp; Organization Studies</t>
        </is>
      </c>
      <c r="C137" s="90" t="n">
        <v>15</v>
      </c>
      <c r="D137" s="90" t="n">
        <v>15</v>
      </c>
      <c r="E137" s="90" t="inlineStr">
        <is>
          <t>Confirmed</t>
        </is>
      </c>
      <c r="F137" s="90" t="n">
        <v>0</v>
      </c>
    </row>
    <row r="138" ht="15" customHeight="1" s="91">
      <c r="A138" s="90" t="inlineStr">
        <is>
          <t>Maryland Smith</t>
        </is>
      </c>
      <c r="B138" s="90" t="inlineStr">
        <is>
          <t>Accounting and Information Assurance</t>
        </is>
      </c>
      <c r="C138" s="90" t="n">
        <v>8</v>
      </c>
      <c r="D138" s="90" t="n">
        <v>9</v>
      </c>
      <c r="E138" s="90" t="inlineStr">
        <is>
          <t>Close (±1-2)</t>
        </is>
      </c>
      <c r="F138" s="90" t="n">
        <v>1</v>
      </c>
    </row>
    <row r="139" ht="15" customHeight="1" s="91">
      <c r="A139" s="90" t="inlineStr">
        <is>
          <t>Maryland Smith</t>
        </is>
      </c>
      <c r="B139" s="90" t="inlineStr">
        <is>
          <t>Decision, Operations and Information Technologies</t>
        </is>
      </c>
      <c r="C139" s="90" t="n">
        <v>23</v>
      </c>
      <c r="D139" s="90" t="n">
        <v>27</v>
      </c>
      <c r="E139" s="90" t="inlineStr">
        <is>
          <t>Discrepancy</t>
        </is>
      </c>
      <c r="F139" s="90" t="n">
        <v>4</v>
      </c>
    </row>
    <row r="140" ht="15" customHeight="1" s="91">
      <c r="A140" s="90" t="inlineStr">
        <is>
          <t>Maryland Smith</t>
        </is>
      </c>
      <c r="B140" s="90" t="inlineStr">
        <is>
          <t>Finance</t>
        </is>
      </c>
      <c r="C140" s="90" t="n">
        <v>18</v>
      </c>
      <c r="D140" s="90" t="n">
        <v>20</v>
      </c>
      <c r="E140" s="90" t="inlineStr">
        <is>
          <t>Close (±1-2)</t>
        </is>
      </c>
      <c r="F140" s="90" t="n">
        <v>2</v>
      </c>
    </row>
    <row r="141" ht="15" customHeight="1" s="91">
      <c r="A141" s="90" t="inlineStr">
        <is>
          <t>Maryland Smith</t>
        </is>
      </c>
      <c r="B141" s="90" t="inlineStr">
        <is>
          <t>Logistics, Business and Public Policy</t>
        </is>
      </c>
      <c r="C141" s="90" t="n">
        <v>11</v>
      </c>
      <c r="D141" s="90" t="n">
        <v>9</v>
      </c>
      <c r="E141" s="90" t="inlineStr">
        <is>
          <t>Close (±1-2)</t>
        </is>
      </c>
      <c r="F141" s="90" t="n">
        <v>-2</v>
      </c>
    </row>
    <row r="142" ht="15" customHeight="1" s="91">
      <c r="A142" s="90" t="inlineStr">
        <is>
          <t>Maryland Smith</t>
        </is>
      </c>
      <c r="B142" s="90" t="inlineStr">
        <is>
          <t>Management and Organization</t>
        </is>
      </c>
      <c r="C142" s="90" t="n">
        <v>13</v>
      </c>
      <c r="D142" s="90" t="n">
        <v>17</v>
      </c>
      <c r="E142" s="90" t="inlineStr">
        <is>
          <t>Discrepancy</t>
        </is>
      </c>
      <c r="F142" s="90" t="n">
        <v>4</v>
      </c>
    </row>
    <row r="143" ht="15" customHeight="1" s="91">
      <c r="A143" s="90" t="inlineStr">
        <is>
          <t>Maryland Smith</t>
        </is>
      </c>
      <c r="B143" s="90" t="inlineStr">
        <is>
          <t>Marketing</t>
        </is>
      </c>
      <c r="C143" s="90" t="n">
        <v>16</v>
      </c>
      <c r="D143" s="90" t="n">
        <v>16</v>
      </c>
      <c r="E143" s="90" t="inlineStr">
        <is>
          <t>Confirmed</t>
        </is>
      </c>
      <c r="F143" s="90" t="n">
        <v>0</v>
      </c>
    </row>
    <row r="144" ht="15" customHeight="1" s="91">
      <c r="A144" s="90" t="inlineStr">
        <is>
          <t>Michigan Ross</t>
        </is>
      </c>
      <c r="B144" s="90" t="inlineStr">
        <is>
          <t>Accounting</t>
        </is>
      </c>
      <c r="C144" s="90" t="n">
        <v>13</v>
      </c>
      <c r="D144" s="90" t="n">
        <v>9</v>
      </c>
      <c r="E144" s="90" t="inlineStr">
        <is>
          <t>Discrepancy</t>
        </is>
      </c>
      <c r="F144" s="90" t="n">
        <v>-4</v>
      </c>
    </row>
    <row r="145" ht="15" customHeight="1" s="91">
      <c r="A145" s="90" t="inlineStr">
        <is>
          <t>Michigan Ross</t>
        </is>
      </c>
      <c r="B145" s="90" t="inlineStr">
        <is>
          <t>Business Economics and Public Policy</t>
        </is>
      </c>
      <c r="C145" s="90" t="n">
        <v>13</v>
      </c>
      <c r="D145" s="90" t="n">
        <v>10</v>
      </c>
      <c r="E145" s="90" t="inlineStr">
        <is>
          <t>Discrepancy</t>
        </is>
      </c>
      <c r="F145" s="90" t="n">
        <v>-3</v>
      </c>
    </row>
    <row r="146" ht="15" customHeight="1" s="91">
      <c r="A146" s="90" t="inlineStr">
        <is>
          <t>Michigan Ross</t>
        </is>
      </c>
      <c r="B146" s="90" t="inlineStr">
        <is>
          <t>Business Law</t>
        </is>
      </c>
      <c r="C146" s="90" t="n">
        <v>7</v>
      </c>
      <c r="D146" s="90" t="n">
        <v>8</v>
      </c>
      <c r="E146" s="90" t="inlineStr">
        <is>
          <t>Close (±1-2)</t>
        </is>
      </c>
      <c r="F146" s="90" t="n">
        <v>1</v>
      </c>
    </row>
    <row r="147" ht="15" customHeight="1" s="91">
      <c r="A147" s="90" t="inlineStr">
        <is>
          <t>Michigan Ross</t>
        </is>
      </c>
      <c r="B147" s="90" t="inlineStr">
        <is>
          <t>Entrepreneurial Studies</t>
        </is>
      </c>
      <c r="C147" s="90" t="n">
        <v>2</v>
      </c>
      <c r="D147" s="90" t="n">
        <v>2</v>
      </c>
      <c r="E147" s="90" t="inlineStr">
        <is>
          <t>Confirmed</t>
        </is>
      </c>
      <c r="F147" s="90" t="n">
        <v>0</v>
      </c>
    </row>
    <row r="148" ht="15" customHeight="1" s="91">
      <c r="A148" s="90" t="inlineStr">
        <is>
          <t>Michigan Ross</t>
        </is>
      </c>
      <c r="B148" s="90" t="inlineStr">
        <is>
          <t>Executive Education</t>
        </is>
      </c>
      <c r="C148" s="90" t="n">
        <v>1</v>
      </c>
      <c r="D148" s="90" t="n">
        <v>0</v>
      </c>
      <c r="E148" s="90" t="inlineStr">
        <is>
          <t>Close (±1-2)</t>
        </is>
      </c>
      <c r="F148" s="90" t="n">
        <v>-1</v>
      </c>
    </row>
    <row r="149" ht="15" customHeight="1" s="91">
      <c r="A149" s="90" t="inlineStr">
        <is>
          <t>Michigan Ross</t>
        </is>
      </c>
      <c r="B149" s="90" t="inlineStr">
        <is>
          <t>Finance</t>
        </is>
      </c>
      <c r="C149" s="90" t="n">
        <v>13</v>
      </c>
      <c r="D149" s="90" t="n">
        <v>11</v>
      </c>
      <c r="E149" s="90" t="inlineStr">
        <is>
          <t>Close (±1-2)</t>
        </is>
      </c>
      <c r="F149" s="90" t="n">
        <v>-2</v>
      </c>
    </row>
    <row r="150" ht="15" customHeight="1" s="91">
      <c r="A150" s="90" t="inlineStr">
        <is>
          <t>Michigan Ross</t>
        </is>
      </c>
      <c r="B150" s="90" t="inlineStr">
        <is>
          <t>Management and Organizations</t>
        </is>
      </c>
      <c r="C150" s="90" t="n">
        <v>18</v>
      </c>
      <c r="D150" s="90" t="n">
        <v>20</v>
      </c>
      <c r="E150" s="90" t="inlineStr">
        <is>
          <t>Close (±1-2)</t>
        </is>
      </c>
      <c r="F150" s="90" t="n">
        <v>2</v>
      </c>
    </row>
    <row r="151" ht="15" customHeight="1" s="91">
      <c r="A151" s="90" t="inlineStr">
        <is>
          <t>Michigan Ross</t>
        </is>
      </c>
      <c r="B151" s="90" t="inlineStr">
        <is>
          <t>Marketing</t>
        </is>
      </c>
      <c r="C151" s="90" t="n">
        <v>15</v>
      </c>
      <c r="D151" s="90" t="n">
        <v>13</v>
      </c>
      <c r="E151" s="90" t="inlineStr">
        <is>
          <t>Close (±1-2)</t>
        </is>
      </c>
      <c r="F151" s="90" t="n">
        <v>-2</v>
      </c>
    </row>
    <row r="152" ht="15" customHeight="1" s="91">
      <c r="A152" s="90" t="inlineStr">
        <is>
          <t>Michigan Ross</t>
        </is>
      </c>
      <c r="B152" s="90" t="inlineStr">
        <is>
          <t>Strategy</t>
        </is>
      </c>
      <c r="C152" s="90" t="n">
        <v>10</v>
      </c>
      <c r="D152" s="90" t="n">
        <v>11</v>
      </c>
      <c r="E152" s="90" t="inlineStr">
        <is>
          <t>Close (±1-2)</t>
        </is>
      </c>
      <c r="F152" s="90" t="n">
        <v>1</v>
      </c>
    </row>
    <row r="153" ht="15" customHeight="1" s="91">
      <c r="A153" s="90" t="inlineStr">
        <is>
          <t>Michigan Ross</t>
        </is>
      </c>
      <c r="B153" s="90" t="inlineStr">
        <is>
          <t>Technology and Operations</t>
        </is>
      </c>
      <c r="C153" s="90" t="n">
        <v>20</v>
      </c>
      <c r="D153" s="90" t="n">
        <v>21</v>
      </c>
      <c r="E153" s="90" t="inlineStr">
        <is>
          <t>Close (±1-2)</t>
        </is>
      </c>
      <c r="F153" s="90" t="n">
        <v>1</v>
      </c>
    </row>
    <row r="154" ht="15" customHeight="1" s="91">
      <c r="A154" s="90" t="inlineStr">
        <is>
          <t>Michigan State Broad</t>
        </is>
      </c>
      <c r="B154" s="90" t="inlineStr">
        <is>
          <t>Accounting &amp; Information Systems</t>
        </is>
      </c>
      <c r="C154" s="90" t="n">
        <v>19</v>
      </c>
      <c r="D154" s="90" t="n">
        <v>22</v>
      </c>
      <c r="E154" s="90" t="inlineStr">
        <is>
          <t>Discrepancy</t>
        </is>
      </c>
      <c r="F154" s="90" t="n">
        <v>3</v>
      </c>
    </row>
    <row r="155" ht="15" customHeight="1" s="91">
      <c r="A155" s="90" t="inlineStr">
        <is>
          <t>Michigan State Broad</t>
        </is>
      </c>
      <c r="B155" s="90" t="inlineStr">
        <is>
          <t>Finance</t>
        </is>
      </c>
      <c r="C155" s="90" t="n">
        <v>8</v>
      </c>
      <c r="D155" s="90" t="n">
        <v>11</v>
      </c>
      <c r="E155" s="90" t="inlineStr">
        <is>
          <t>Discrepancy</t>
        </is>
      </c>
      <c r="F155" s="90" t="n">
        <v>3</v>
      </c>
    </row>
    <row r="156" ht="15" customHeight="1" s="91">
      <c r="A156" s="90" t="inlineStr">
        <is>
          <t>Michigan State Broad</t>
        </is>
      </c>
      <c r="B156" s="90" t="inlineStr">
        <is>
          <t>Hospitality Business</t>
        </is>
      </c>
      <c r="C156" s="90" t="n">
        <v>9</v>
      </c>
      <c r="D156" s="90" t="n">
        <v>10</v>
      </c>
      <c r="E156" s="90" t="inlineStr">
        <is>
          <t>Close (±1-2)</t>
        </is>
      </c>
      <c r="F156" s="90" t="n">
        <v>1</v>
      </c>
    </row>
    <row r="157" ht="15" customHeight="1" s="91">
      <c r="A157" s="90" t="inlineStr">
        <is>
          <t>Michigan State Broad</t>
        </is>
      </c>
      <c r="B157" s="90" t="inlineStr">
        <is>
          <t>Management</t>
        </is>
      </c>
      <c r="C157" s="90" t="n">
        <v>16</v>
      </c>
      <c r="D157" s="90" t="n">
        <v>18</v>
      </c>
      <c r="E157" s="90" t="inlineStr">
        <is>
          <t>Close (±1-2)</t>
        </is>
      </c>
      <c r="F157" s="90" t="n">
        <v>2</v>
      </c>
    </row>
    <row r="158" ht="15" customHeight="1" s="91">
      <c r="A158" s="90" t="inlineStr">
        <is>
          <t>Michigan State Broad</t>
        </is>
      </c>
      <c r="B158" s="90" t="inlineStr">
        <is>
          <t>Marketing</t>
        </is>
      </c>
      <c r="C158" s="90" t="n">
        <v>17</v>
      </c>
      <c r="D158" s="90" t="n">
        <v>17</v>
      </c>
      <c r="E158" s="90" t="inlineStr">
        <is>
          <t>Confirmed</t>
        </is>
      </c>
      <c r="F158" s="90" t="n">
        <v>0</v>
      </c>
    </row>
    <row r="159" ht="15" customHeight="1" s="91">
      <c r="A159" s="90" t="inlineStr">
        <is>
          <t>Michigan State Broad</t>
        </is>
      </c>
      <c r="B159" s="90" t="inlineStr">
        <is>
          <t>Supply Chain Management</t>
        </is>
      </c>
      <c r="C159" s="90" t="n">
        <v>14</v>
      </c>
      <c r="D159" s="90" t="n">
        <v>16</v>
      </c>
      <c r="E159" s="90" t="inlineStr">
        <is>
          <t>Close (±1-2)</t>
        </is>
      </c>
      <c r="F159" s="90" t="n">
        <v>2</v>
      </c>
    </row>
    <row r="160" ht="15" customHeight="1" s="91">
      <c r="A160" s="90" t="inlineStr">
        <is>
          <t>Minnesota Carlson</t>
        </is>
      </c>
      <c r="B160" s="90" t="inlineStr">
        <is>
          <t>Accounting</t>
        </is>
      </c>
      <c r="C160" s="90" t="n">
        <v>11</v>
      </c>
      <c r="D160" s="90" t="n">
        <v>13</v>
      </c>
      <c r="E160" s="90" t="inlineStr">
        <is>
          <t>Close (±1-2)</t>
        </is>
      </c>
      <c r="F160" s="90" t="n">
        <v>2</v>
      </c>
    </row>
    <row r="161" ht="15" customHeight="1" s="91">
      <c r="A161" s="90" t="inlineStr">
        <is>
          <t>Minnesota Carlson</t>
        </is>
      </c>
      <c r="B161" s="90" t="inlineStr">
        <is>
          <t>Finance</t>
        </is>
      </c>
      <c r="C161" s="90" t="n">
        <v>9</v>
      </c>
      <c r="D161" s="90" t="n">
        <v>15</v>
      </c>
      <c r="E161" s="90" t="inlineStr">
        <is>
          <t>Discrepancy</t>
        </is>
      </c>
      <c r="F161" s="90" t="n">
        <v>6</v>
      </c>
    </row>
    <row r="162" ht="15" customHeight="1" s="91">
      <c r="A162" s="90" t="inlineStr">
        <is>
          <t>Minnesota Carlson</t>
        </is>
      </c>
      <c r="B162" s="90" t="inlineStr">
        <is>
          <t>Information &amp; Decision Sciences</t>
        </is>
      </c>
      <c r="C162" s="90" t="n">
        <v>15</v>
      </c>
      <c r="D162" s="90" t="n">
        <v>18</v>
      </c>
      <c r="E162" s="90" t="inlineStr">
        <is>
          <t>Discrepancy</t>
        </is>
      </c>
      <c r="F162" s="90" t="n">
        <v>3</v>
      </c>
    </row>
    <row r="163" ht="15" customHeight="1" s="91">
      <c r="A163" s="90" t="inlineStr">
        <is>
          <t>Minnesota Carlson</t>
        </is>
      </c>
      <c r="B163" s="90" t="inlineStr">
        <is>
          <t>Marketing</t>
        </is>
      </c>
      <c r="C163" s="90" t="n">
        <v>13</v>
      </c>
      <c r="D163" s="90" t="n">
        <v>15</v>
      </c>
      <c r="E163" s="90" t="inlineStr">
        <is>
          <t>Close (±1-2)</t>
        </is>
      </c>
      <c r="F163" s="90" t="n">
        <v>2</v>
      </c>
    </row>
    <row r="164" ht="15" customHeight="1" s="91">
      <c r="A164" s="90" t="inlineStr">
        <is>
          <t>Minnesota Carlson</t>
        </is>
      </c>
      <c r="B164" s="90" t="inlineStr">
        <is>
          <t>Strategic Management &amp; Entrepreneurship</t>
        </is>
      </c>
      <c r="C164" s="90" t="n">
        <v>17</v>
      </c>
      <c r="D164" s="90" t="n">
        <v>17</v>
      </c>
      <c r="E164" s="90" t="inlineStr">
        <is>
          <t>Confirmed</t>
        </is>
      </c>
      <c r="F164" s="90" t="n">
        <v>0</v>
      </c>
    </row>
    <row r="165" ht="15" customHeight="1" s="91">
      <c r="A165" s="90" t="inlineStr">
        <is>
          <t>Minnesota Carlson</t>
        </is>
      </c>
      <c r="B165" s="90" t="inlineStr">
        <is>
          <t>Supply Chain &amp; Operations</t>
        </is>
      </c>
      <c r="C165" s="90" t="n">
        <v>8</v>
      </c>
      <c r="D165" s="90" t="n">
        <v>9</v>
      </c>
      <c r="E165" s="90" t="inlineStr">
        <is>
          <t>Close (±1-2)</t>
        </is>
      </c>
      <c r="F165" s="90" t="n">
        <v>1</v>
      </c>
    </row>
    <row r="166" ht="15" customHeight="1" s="91">
      <c r="A166" s="90" t="inlineStr">
        <is>
          <t>Minnesota Carlson</t>
        </is>
      </c>
      <c r="B166" s="90" t="inlineStr">
        <is>
          <t>Work &amp; Organizations</t>
        </is>
      </c>
      <c r="C166" s="90" t="n">
        <v>13</v>
      </c>
      <c r="D166" s="90" t="n">
        <v>14</v>
      </c>
      <c r="E166" s="90" t="inlineStr">
        <is>
          <t>Close (±1-2)</t>
        </is>
      </c>
      <c r="F166" s="90" t="n">
        <v>1</v>
      </c>
    </row>
    <row r="167" ht="15" customHeight="1" s="91">
      <c r="A167" s="90" t="inlineStr">
        <is>
          <t>NYU Stern</t>
        </is>
      </c>
      <c r="B167" s="90" t="inlineStr">
        <is>
          <t>Accounting</t>
        </is>
      </c>
      <c r="C167" s="90" t="n">
        <v>16</v>
      </c>
      <c r="D167" s="90" t="n">
        <v>16</v>
      </c>
      <c r="E167" s="90" t="inlineStr">
        <is>
          <t>Confirmed</t>
        </is>
      </c>
      <c r="F167" s="90" t="n">
        <v>0</v>
      </c>
    </row>
    <row r="168" ht="15" customHeight="1" s="91">
      <c r="A168" s="90" t="inlineStr">
        <is>
          <t>NYU Stern</t>
        </is>
      </c>
      <c r="B168" s="90" t="inlineStr">
        <is>
          <t>Economics</t>
        </is>
      </c>
      <c r="C168" s="90" t="n">
        <v>22</v>
      </c>
      <c r="D168" s="90" t="n">
        <v>20</v>
      </c>
      <c r="E168" s="90" t="inlineStr">
        <is>
          <t>Close (±1-2)</t>
        </is>
      </c>
      <c r="F168" s="90" t="n">
        <v>-2</v>
      </c>
    </row>
    <row r="169" ht="15" customHeight="1" s="91">
      <c r="A169" s="90" t="inlineStr">
        <is>
          <t>NYU Stern</t>
        </is>
      </c>
      <c r="B169" s="90" t="inlineStr">
        <is>
          <t>Finance</t>
        </is>
      </c>
      <c r="C169" s="90" t="n">
        <v>38</v>
      </c>
      <c r="D169" s="90" t="n">
        <v>32</v>
      </c>
      <c r="E169" s="90" t="inlineStr">
        <is>
          <t>Discrepancy</t>
        </is>
      </c>
      <c r="F169" s="90" t="n">
        <v>-6</v>
      </c>
    </row>
    <row r="170" ht="15" customHeight="1" s="91">
      <c r="A170" s="90" t="inlineStr">
        <is>
          <t>NYU Stern</t>
        </is>
      </c>
      <c r="B170" s="90" t="inlineStr">
        <is>
          <t>Management and Organizations</t>
        </is>
      </c>
      <c r="C170" s="90" t="n">
        <v>34</v>
      </c>
      <c r="D170" s="90" t="n">
        <v>31</v>
      </c>
      <c r="E170" s="90" t="inlineStr">
        <is>
          <t>Discrepancy</t>
        </is>
      </c>
      <c r="F170" s="90" t="n">
        <v>-3</v>
      </c>
    </row>
    <row r="171" ht="15" customHeight="1" s="91">
      <c r="A171" s="90" t="inlineStr">
        <is>
          <t>NYU Stern</t>
        </is>
      </c>
      <c r="B171" s="90" t="inlineStr">
        <is>
          <t>Marketing</t>
        </is>
      </c>
      <c r="C171" s="90" t="n">
        <v>26</v>
      </c>
      <c r="D171" s="90" t="n">
        <v>24</v>
      </c>
      <c r="E171" s="90" t="inlineStr">
        <is>
          <t>Close (±1-2)</t>
        </is>
      </c>
      <c r="F171" s="90" t="n">
        <v>-2</v>
      </c>
    </row>
    <row r="172" ht="15" customHeight="1" s="91">
      <c r="A172" s="90" t="inlineStr">
        <is>
          <t>NYU Stern</t>
        </is>
      </c>
      <c r="B172" s="90" t="inlineStr">
        <is>
          <t>Technology, Operations, and Statistics</t>
        </is>
      </c>
      <c r="C172" s="90" t="n">
        <v>34</v>
      </c>
      <c r="D172" s="90" t="n">
        <v>34</v>
      </c>
      <c r="E172" s="90" t="inlineStr">
        <is>
          <t>Confirmed</t>
        </is>
      </c>
      <c r="F172" s="90" t="n">
        <v>0</v>
      </c>
    </row>
    <row r="173" ht="15" customHeight="1" s="91">
      <c r="A173" s="90" t="inlineStr">
        <is>
          <t>Notre Dame Mendoza</t>
        </is>
      </c>
      <c r="B173" s="90" t="inlineStr">
        <is>
          <t>Accountancy</t>
        </is>
      </c>
      <c r="C173" s="90" t="n">
        <v>20</v>
      </c>
      <c r="D173" s="90" t="n">
        <v>20</v>
      </c>
      <c r="E173" s="90" t="inlineStr">
        <is>
          <t>Confirmed</t>
        </is>
      </c>
      <c r="F173" s="90" t="n">
        <v>0</v>
      </c>
    </row>
    <row r="174" ht="15" customHeight="1" s="91">
      <c r="A174" s="90" t="inlineStr">
        <is>
          <t>Notre Dame Mendoza</t>
        </is>
      </c>
      <c r="B174" s="90" t="inlineStr">
        <is>
          <t>Business Ethics and Society</t>
        </is>
      </c>
      <c r="C174" s="90" t="n">
        <v>4</v>
      </c>
      <c r="D174" s="90" t="n">
        <v>4</v>
      </c>
      <c r="E174" s="90" t="inlineStr">
        <is>
          <t>Confirmed</t>
        </is>
      </c>
      <c r="F174" s="90" t="n">
        <v>0</v>
      </c>
    </row>
    <row r="175" ht="15" customHeight="1" s="91">
      <c r="A175" s="90" t="inlineStr">
        <is>
          <t>Notre Dame Mendoza</t>
        </is>
      </c>
      <c r="B175" s="90" t="inlineStr">
        <is>
          <t>Finance</t>
        </is>
      </c>
      <c r="C175" s="90" t="n">
        <v>20</v>
      </c>
      <c r="D175" s="90" t="n">
        <v>20</v>
      </c>
      <c r="E175" s="90" t="inlineStr">
        <is>
          <t>Confirmed</t>
        </is>
      </c>
      <c r="F175" s="90" t="n">
        <v>0</v>
      </c>
    </row>
    <row r="176" ht="15" customHeight="1" s="91">
      <c r="A176" s="90" t="inlineStr">
        <is>
          <t>Notre Dame Mendoza</t>
        </is>
      </c>
      <c r="B176" s="90" t="inlineStr">
        <is>
          <t>IT, Analytics, and Operations</t>
        </is>
      </c>
      <c r="C176" s="90" t="n">
        <v>24</v>
      </c>
      <c r="D176" s="90" t="n">
        <v>24</v>
      </c>
      <c r="E176" s="90" t="inlineStr">
        <is>
          <t>Confirmed</t>
        </is>
      </c>
      <c r="F176" s="90" t="n">
        <v>0</v>
      </c>
    </row>
    <row r="177" ht="15" customHeight="1" s="91">
      <c r="A177" s="90" t="inlineStr">
        <is>
          <t>Notre Dame Mendoza</t>
        </is>
      </c>
      <c r="B177" s="90" t="inlineStr">
        <is>
          <t>Management &amp; Organization</t>
        </is>
      </c>
      <c r="C177" s="90" t="n">
        <v>16</v>
      </c>
      <c r="D177" s="90" t="n">
        <v>16</v>
      </c>
      <c r="E177" s="90" t="inlineStr">
        <is>
          <t>Confirmed</t>
        </is>
      </c>
      <c r="F177" s="90" t="n">
        <v>0</v>
      </c>
    </row>
    <row r="178" ht="15" customHeight="1" s="91">
      <c r="A178" s="90" t="inlineStr">
        <is>
          <t>Notre Dame Mendoza</t>
        </is>
      </c>
      <c r="B178" s="90" t="inlineStr">
        <is>
          <t>Marketing</t>
        </is>
      </c>
      <c r="C178" s="90" t="n">
        <v>14</v>
      </c>
      <c r="D178" s="90" t="n">
        <v>14</v>
      </c>
      <c r="E178" s="90" t="inlineStr">
        <is>
          <t>Confirmed</t>
        </is>
      </c>
      <c r="F178" s="90" t="n">
        <v>0</v>
      </c>
    </row>
    <row r="179" ht="15" customHeight="1" s="91">
      <c r="A179" s="90" t="inlineStr">
        <is>
          <t>Ohio State Fisher</t>
        </is>
      </c>
      <c r="B179" s="90" t="inlineStr">
        <is>
          <t>Accounting &amp; MIS</t>
        </is>
      </c>
      <c r="C179" s="90" t="n">
        <v>8</v>
      </c>
      <c r="D179" s="90" t="n">
        <v>18</v>
      </c>
      <c r="E179" s="90" t="inlineStr">
        <is>
          <t>Discrepancy</t>
        </is>
      </c>
      <c r="F179" s="90" t="n">
        <v>10</v>
      </c>
    </row>
    <row r="180" ht="15" customHeight="1" s="91">
      <c r="A180" s="90" t="inlineStr">
        <is>
          <t>Ohio State Fisher</t>
        </is>
      </c>
      <c r="B180" s="90" t="inlineStr">
        <is>
          <t>Finance</t>
        </is>
      </c>
      <c r="C180" s="90" t="n">
        <v>10</v>
      </c>
      <c r="D180" s="90" t="n">
        <v>24</v>
      </c>
      <c r="E180" s="90" t="inlineStr">
        <is>
          <t>Discrepancy</t>
        </is>
      </c>
      <c r="F180" s="90" t="n">
        <v>14</v>
      </c>
    </row>
    <row r="181" ht="15" customHeight="1" s="91">
      <c r="A181" s="90" t="inlineStr">
        <is>
          <t>Ohio State Fisher</t>
        </is>
      </c>
      <c r="B181" s="90" t="inlineStr">
        <is>
          <t>Management &amp; Human Resources</t>
        </is>
      </c>
      <c r="C181" s="90" t="n">
        <v>7</v>
      </c>
      <c r="D181" s="90" t="n">
        <v>13</v>
      </c>
      <c r="E181" s="90" t="inlineStr">
        <is>
          <t>Discrepancy</t>
        </is>
      </c>
      <c r="F181" s="90" t="n">
        <v>6</v>
      </c>
    </row>
    <row r="182" ht="15" customHeight="1" s="91">
      <c r="A182" s="90" t="inlineStr">
        <is>
          <t>Ohio State Fisher</t>
        </is>
      </c>
      <c r="B182" s="90" t="inlineStr">
        <is>
          <t>Marketing &amp; Logistics</t>
        </is>
      </c>
      <c r="C182" s="90" t="n">
        <v>11</v>
      </c>
      <c r="D182" s="90" t="n">
        <v>21</v>
      </c>
      <c r="E182" s="90" t="inlineStr">
        <is>
          <t>Discrepancy</t>
        </is>
      </c>
      <c r="F182" s="90" t="n">
        <v>10</v>
      </c>
    </row>
    <row r="183" ht="15" customHeight="1" s="91">
      <c r="A183" s="90" t="inlineStr">
        <is>
          <t>Ohio State Fisher</t>
        </is>
      </c>
      <c r="B183" s="90" t="inlineStr">
        <is>
          <t>Operations and Business Analytics</t>
        </is>
      </c>
      <c r="C183" s="90" t="n">
        <v>13</v>
      </c>
      <c r="D183" s="90" t="n">
        <v>20</v>
      </c>
      <c r="E183" s="90" t="inlineStr">
        <is>
          <t>Discrepancy</t>
        </is>
      </c>
      <c r="F183" s="90" t="n">
        <v>7</v>
      </c>
    </row>
    <row r="184" ht="15" customHeight="1" s="91">
      <c r="A184" s="90" t="inlineStr">
        <is>
          <t>Penn State Smeal</t>
        </is>
      </c>
      <c r="B184" s="90" t="inlineStr">
        <is>
          <t>Accounting</t>
        </is>
      </c>
      <c r="C184" s="90" t="n">
        <v>18</v>
      </c>
      <c r="D184" s="90" t="n">
        <v>15</v>
      </c>
      <c r="E184" s="90" t="inlineStr">
        <is>
          <t>Discrepancy</t>
        </is>
      </c>
      <c r="F184" s="90" t="n">
        <v>-3</v>
      </c>
    </row>
    <row r="185" ht="15" customHeight="1" s="91">
      <c r="A185" s="90" t="inlineStr">
        <is>
          <t>Penn State Smeal</t>
        </is>
      </c>
      <c r="B185" s="90" t="inlineStr">
        <is>
          <t>Finance</t>
        </is>
      </c>
      <c r="C185" s="90" t="n">
        <v>24</v>
      </c>
      <c r="D185" s="90" t="n">
        <v>22</v>
      </c>
      <c r="E185" s="90" t="inlineStr">
        <is>
          <t>Close (±1-2)</t>
        </is>
      </c>
      <c r="F185" s="90" t="n">
        <v>-2</v>
      </c>
    </row>
    <row r="186" ht="15" customHeight="1" s="91">
      <c r="A186" s="90" t="inlineStr">
        <is>
          <t>Penn State Smeal</t>
        </is>
      </c>
      <c r="B186" s="90" t="inlineStr">
        <is>
          <t>Management &amp; Organization</t>
        </is>
      </c>
      <c r="C186" s="90" t="n">
        <v>22</v>
      </c>
      <c r="D186" s="90" t="n">
        <v>16</v>
      </c>
      <c r="E186" s="90" t="inlineStr">
        <is>
          <t>Discrepancy</t>
        </is>
      </c>
      <c r="F186" s="90" t="n">
        <v>-6</v>
      </c>
    </row>
    <row r="187" ht="15" customHeight="1" s="91">
      <c r="A187" s="90" t="inlineStr">
        <is>
          <t>Penn State Smeal</t>
        </is>
      </c>
      <c r="B187" s="90" t="inlineStr">
        <is>
          <t>Marketing</t>
        </is>
      </c>
      <c r="C187" s="90" t="n">
        <v>23</v>
      </c>
      <c r="D187" s="90" t="n">
        <v>17</v>
      </c>
      <c r="E187" s="90" t="inlineStr">
        <is>
          <t>Discrepancy</t>
        </is>
      </c>
      <c r="F187" s="90" t="n">
        <v>-6</v>
      </c>
    </row>
    <row r="188" ht="15" customHeight="1" s="91">
      <c r="A188" s="90" t="inlineStr">
        <is>
          <t>Penn State Smeal</t>
        </is>
      </c>
      <c r="B188" s="90" t="inlineStr">
        <is>
          <t>Risk Management</t>
        </is>
      </c>
      <c r="C188" s="90" t="n">
        <v>16</v>
      </c>
      <c r="D188" s="90" t="n">
        <v>13</v>
      </c>
      <c r="E188" s="90" t="inlineStr">
        <is>
          <t>Discrepancy</t>
        </is>
      </c>
      <c r="F188" s="90" t="n">
        <v>-3</v>
      </c>
    </row>
    <row r="189" ht="15" customHeight="1" s="91">
      <c r="A189" s="90" t="inlineStr">
        <is>
          <t>Penn State Smeal</t>
        </is>
      </c>
      <c r="B189" s="90" t="inlineStr">
        <is>
          <t>Supply Chain &amp; Information Systems</t>
        </is>
      </c>
      <c r="C189" s="90" t="n">
        <v>18</v>
      </c>
      <c r="D189" s="90" t="n">
        <v>14</v>
      </c>
      <c r="E189" s="90" t="inlineStr">
        <is>
          <t>Discrepancy</t>
        </is>
      </c>
      <c r="F189" s="90" t="n">
        <v>-4</v>
      </c>
    </row>
    <row r="190" ht="15" customHeight="1" s="91">
      <c r="A190" s="90" t="inlineStr">
        <is>
          <t>Pittsburgh Katz</t>
        </is>
      </c>
      <c r="B190" s="90" t="inlineStr">
        <is>
          <t>Accounting</t>
        </is>
      </c>
      <c r="C190" s="90" t="n">
        <v>8</v>
      </c>
      <c r="D190" s="90" t="n">
        <v>9</v>
      </c>
      <c r="E190" s="90" t="inlineStr">
        <is>
          <t>Close (±1-2)</t>
        </is>
      </c>
      <c r="F190" s="90" t="n">
        <v>1</v>
      </c>
    </row>
    <row r="191" ht="15" customHeight="1" s="91">
      <c r="A191" s="90" t="inlineStr">
        <is>
          <t>Pittsburgh Katz</t>
        </is>
      </c>
      <c r="B191" s="90" t="inlineStr">
        <is>
          <t>Business Analytics &amp; Operations</t>
        </is>
      </c>
      <c r="C191" s="90" t="n">
        <v>10</v>
      </c>
      <c r="D191" s="90" t="n">
        <v>9</v>
      </c>
      <c r="E191" s="90" t="inlineStr">
        <is>
          <t>Close (±1-2)</t>
        </is>
      </c>
      <c r="F191" s="90" t="n">
        <v>-1</v>
      </c>
    </row>
    <row r="192" ht="15" customHeight="1" s="91">
      <c r="A192" s="90" t="inlineStr">
        <is>
          <t>Pittsburgh Katz</t>
        </is>
      </c>
      <c r="B192" s="90" t="inlineStr">
        <is>
          <t>Finance</t>
        </is>
      </c>
      <c r="C192" s="90" t="n">
        <v>10</v>
      </c>
      <c r="D192" s="90" t="n">
        <v>12</v>
      </c>
      <c r="E192" s="90" t="inlineStr">
        <is>
          <t>Close (±1-2)</t>
        </is>
      </c>
      <c r="F192" s="90" t="n">
        <v>2</v>
      </c>
    </row>
    <row r="193" ht="15" customHeight="1" s="91">
      <c r="A193" s="90" t="inlineStr">
        <is>
          <t>Pittsburgh Katz</t>
        </is>
      </c>
      <c r="B193" s="90" t="inlineStr">
        <is>
          <t>IS &amp; Technology Management</t>
        </is>
      </c>
      <c r="C193" s="90" t="n">
        <v>8</v>
      </c>
      <c r="D193" s="90" t="n">
        <v>6</v>
      </c>
      <c r="E193" s="90" t="inlineStr">
        <is>
          <t>Close (±1-2)</t>
        </is>
      </c>
      <c r="F193" s="90" t="n">
        <v>-2</v>
      </c>
    </row>
    <row r="194" ht="15" customHeight="1" s="91">
      <c r="A194" s="90" t="inlineStr">
        <is>
          <t>Pittsburgh Katz</t>
        </is>
      </c>
      <c r="B194" s="90" t="inlineStr">
        <is>
          <t>Marketing &amp; Business Economics</t>
        </is>
      </c>
      <c r="C194" s="90" t="n">
        <v>12</v>
      </c>
      <c r="D194" s="90" t="n">
        <v>13</v>
      </c>
      <c r="E194" s="90" t="inlineStr">
        <is>
          <t>Close (±1-2)</t>
        </is>
      </c>
      <c r="F194" s="90" t="n">
        <v>1</v>
      </c>
    </row>
    <row r="195" ht="15" customHeight="1" s="91">
      <c r="A195" s="90" t="inlineStr">
        <is>
          <t>Pittsburgh Katz</t>
        </is>
      </c>
      <c r="B195" s="90" t="inlineStr">
        <is>
          <t>Organizations &amp; Entrepreneurship</t>
        </is>
      </c>
      <c r="C195" s="90" t="n">
        <v>11</v>
      </c>
      <c r="D195" s="90" t="n">
        <v>14</v>
      </c>
      <c r="E195" s="90" t="inlineStr">
        <is>
          <t>Discrepancy</t>
        </is>
      </c>
      <c r="F195" s="90" t="n">
        <v>3</v>
      </c>
    </row>
    <row r="196" ht="15" customHeight="1" s="91">
      <c r="A196" s="90" t="inlineStr">
        <is>
          <t>Purdue Daniels</t>
        </is>
      </c>
      <c r="B196" s="90" t="inlineStr">
        <is>
          <t>Accounting</t>
        </is>
      </c>
      <c r="C196" s="90" t="n">
        <v>12</v>
      </c>
      <c r="D196" s="90" t="n">
        <v>13</v>
      </c>
      <c r="E196" s="90" t="inlineStr">
        <is>
          <t>Close (±1-2)</t>
        </is>
      </c>
      <c r="F196" s="90" t="n">
        <v>1</v>
      </c>
    </row>
    <row r="197" ht="15" customHeight="1" s="91">
      <c r="A197" s="90" t="inlineStr">
        <is>
          <t>Purdue Daniels</t>
        </is>
      </c>
      <c r="B197" s="90" t="inlineStr">
        <is>
          <t>Economics</t>
        </is>
      </c>
      <c r="C197" s="90" t="n">
        <v>27</v>
      </c>
      <c r="D197" s="90" t="n">
        <v>29</v>
      </c>
      <c r="E197" s="90" t="inlineStr">
        <is>
          <t>Close (±1-2)</t>
        </is>
      </c>
      <c r="F197" s="90" t="n">
        <v>2</v>
      </c>
    </row>
    <row r="198" ht="15" customHeight="1" s="91">
      <c r="A198" s="90" t="inlineStr">
        <is>
          <t>Purdue Daniels</t>
        </is>
      </c>
      <c r="B198" s="90" t="inlineStr">
        <is>
          <t>Finance</t>
        </is>
      </c>
      <c r="C198" s="90" t="n">
        <v>14</v>
      </c>
      <c r="D198" s="90" t="n">
        <v>14</v>
      </c>
      <c r="E198" s="90" t="inlineStr">
        <is>
          <t>Confirmed</t>
        </is>
      </c>
      <c r="F198" s="90" t="n">
        <v>0</v>
      </c>
    </row>
    <row r="199" ht="15" customHeight="1" s="91">
      <c r="A199" s="90" t="inlineStr">
        <is>
          <t>Purdue Daniels</t>
        </is>
      </c>
      <c r="B199" s="90" t="inlineStr">
        <is>
          <t>MIS/Quantitative Methods</t>
        </is>
      </c>
      <c r="C199" s="90" t="n">
        <v>12</v>
      </c>
      <c r="D199" s="90" t="n">
        <v>16</v>
      </c>
      <c r="E199" s="90" t="inlineStr">
        <is>
          <t>Discrepancy</t>
        </is>
      </c>
      <c r="F199" s="90" t="n">
        <v>4</v>
      </c>
    </row>
    <row r="200" ht="15" customHeight="1" s="91">
      <c r="A200" s="90" t="inlineStr">
        <is>
          <t>Purdue Daniels</t>
        </is>
      </c>
      <c r="B200" s="90" t="inlineStr">
        <is>
          <t>Marketing</t>
        </is>
      </c>
      <c r="C200" s="90" t="n">
        <v>8</v>
      </c>
      <c r="D200" s="90" t="n">
        <v>9</v>
      </c>
      <c r="E200" s="90" t="inlineStr">
        <is>
          <t>Close (±1-2)</t>
        </is>
      </c>
      <c r="F200" s="90" t="n">
        <v>1</v>
      </c>
    </row>
    <row r="201" ht="15" customHeight="1" s="91">
      <c r="A201" s="90" t="inlineStr">
        <is>
          <t>Purdue Daniels</t>
        </is>
      </c>
      <c r="B201" s="90" t="inlineStr">
        <is>
          <t>Organizational Behavior/HR</t>
        </is>
      </c>
      <c r="C201" s="90" t="n">
        <v>9</v>
      </c>
      <c r="D201" s="90" t="n">
        <v>11</v>
      </c>
      <c r="E201" s="90" t="inlineStr">
        <is>
          <t>Close (±1-2)</t>
        </is>
      </c>
      <c r="F201" s="90" t="n">
        <v>2</v>
      </c>
    </row>
    <row r="202" ht="15" customHeight="1" s="91">
      <c r="A202" s="90" t="inlineStr">
        <is>
          <t>Purdue Daniels</t>
        </is>
      </c>
      <c r="B202" s="90" t="inlineStr">
        <is>
          <t>Strategic Management</t>
        </is>
      </c>
      <c r="C202" s="90" t="n">
        <v>15</v>
      </c>
      <c r="D202" s="90" t="n">
        <v>11</v>
      </c>
      <c r="E202" s="90" t="inlineStr">
        <is>
          <t>Discrepancy</t>
        </is>
      </c>
      <c r="F202" s="90" t="n">
        <v>-4</v>
      </c>
    </row>
    <row r="203" ht="15" customHeight="1" s="91">
      <c r="A203" s="90" t="inlineStr">
        <is>
          <t>Purdue Daniels</t>
        </is>
      </c>
      <c r="B203" s="90" t="inlineStr">
        <is>
          <t>Supply Chain &amp; Operations</t>
        </is>
      </c>
      <c r="C203" s="90" t="n">
        <v>7</v>
      </c>
      <c r="D203" s="90" t="n">
        <v>10</v>
      </c>
      <c r="E203" s="90" t="inlineStr">
        <is>
          <t>Discrepancy</t>
        </is>
      </c>
      <c r="F203" s="90" t="n">
        <v>3</v>
      </c>
    </row>
    <row r="204" ht="15" customHeight="1" s="91">
      <c r="A204" s="90" t="inlineStr">
        <is>
          <t>Rice Jones</t>
        </is>
      </c>
      <c r="B204" s="90" t="inlineStr">
        <is>
          <t>Accounting</t>
        </is>
      </c>
      <c r="C204" s="90" t="n">
        <v>12</v>
      </c>
      <c r="D204" s="90" t="n">
        <v>12</v>
      </c>
      <c r="E204" s="90" t="inlineStr">
        <is>
          <t>Confirmed</t>
        </is>
      </c>
      <c r="F204" s="90" t="n">
        <v>0</v>
      </c>
    </row>
    <row r="205" ht="15" customHeight="1" s="91">
      <c r="A205" s="90" t="inlineStr">
        <is>
          <t>Rice Jones</t>
        </is>
      </c>
      <c r="B205" s="90" t="inlineStr">
        <is>
          <t>Finance</t>
        </is>
      </c>
      <c r="C205" s="90" t="n">
        <v>19</v>
      </c>
      <c r="D205" s="90" t="n">
        <v>19</v>
      </c>
      <c r="E205" s="90" t="inlineStr">
        <is>
          <t>Confirmed</t>
        </is>
      </c>
      <c r="F205" s="90" t="n">
        <v>0</v>
      </c>
    </row>
    <row r="206" ht="15" customHeight="1" s="91">
      <c r="A206" s="90" t="inlineStr">
        <is>
          <t>Rice Jones</t>
        </is>
      </c>
      <c r="B206" s="90" t="inlineStr">
        <is>
          <t>Marketing</t>
        </is>
      </c>
      <c r="C206" s="90" t="n">
        <v>11</v>
      </c>
      <c r="D206" s="90" t="n">
        <v>11</v>
      </c>
      <c r="E206" s="90" t="inlineStr">
        <is>
          <t>Confirmed</t>
        </is>
      </c>
      <c r="F206" s="90" t="n">
        <v>0</v>
      </c>
    </row>
    <row r="207" ht="15" customHeight="1" s="91">
      <c r="A207" s="90" t="inlineStr">
        <is>
          <t>Rice Jones</t>
        </is>
      </c>
      <c r="B207" s="90" t="inlineStr">
        <is>
          <t>Operations Management</t>
        </is>
      </c>
      <c r="C207" s="90" t="n">
        <v>6</v>
      </c>
      <c r="D207" s="90" t="n">
        <v>6</v>
      </c>
      <c r="E207" s="90" t="inlineStr">
        <is>
          <t>Confirmed</t>
        </is>
      </c>
      <c r="F207" s="90" t="n">
        <v>0</v>
      </c>
    </row>
    <row r="208" ht="15" customHeight="1" s="91">
      <c r="A208" s="90" t="inlineStr">
        <is>
          <t>Rice Jones</t>
        </is>
      </c>
      <c r="B208" s="90" t="inlineStr">
        <is>
          <t>Organizational Behavior</t>
        </is>
      </c>
      <c r="C208" s="90" t="n">
        <v>13</v>
      </c>
      <c r="D208" s="90" t="n">
        <v>7</v>
      </c>
      <c r="E208" s="90" t="inlineStr">
        <is>
          <t>Discrepancy</t>
        </is>
      </c>
      <c r="F208" s="90" t="n">
        <v>-6</v>
      </c>
    </row>
    <row r="209" ht="15" customHeight="1" s="91">
      <c r="A209" s="90" t="inlineStr">
        <is>
          <t>Rice Jones</t>
        </is>
      </c>
      <c r="B209" s="90" t="inlineStr">
        <is>
          <t>Strategy and Environment</t>
        </is>
      </c>
      <c r="C209" s="90" t="n">
        <v>12</v>
      </c>
      <c r="D209" s="90" t="n">
        <v>12</v>
      </c>
      <c r="E209" s="90" t="inlineStr">
        <is>
          <t>Confirmed</t>
        </is>
      </c>
      <c r="F209" s="90" t="n">
        <v>0</v>
      </c>
    </row>
    <row r="210" ht="15" customHeight="1" s="91">
      <c r="A210" s="90" t="inlineStr">
        <is>
          <t>Rutgers</t>
        </is>
      </c>
      <c r="B210" s="90" t="inlineStr">
        <is>
          <t>Accounting &amp; Information Systems</t>
        </is>
      </c>
      <c r="C210" s="90" t="n">
        <v>24</v>
      </c>
      <c r="D210" s="90" t="n">
        <v>22</v>
      </c>
      <c r="E210" s="90" t="inlineStr">
        <is>
          <t>Close (±1-2)</t>
        </is>
      </c>
      <c r="F210" s="90" t="n">
        <v>-2</v>
      </c>
    </row>
    <row r="211" ht="15" customHeight="1" s="91">
      <c r="A211" s="90" t="inlineStr">
        <is>
          <t>Rutgers</t>
        </is>
      </c>
      <c r="B211" s="90" t="inlineStr">
        <is>
          <t>Executive Education</t>
        </is>
      </c>
      <c r="C211" s="90" t="n">
        <v>3</v>
      </c>
      <c r="D211" s="90" t="n">
        <v>3</v>
      </c>
      <c r="E211" s="90" t="inlineStr">
        <is>
          <t>Confirmed</t>
        </is>
      </c>
      <c r="F211" s="90" t="n">
        <v>0</v>
      </c>
    </row>
    <row r="212" ht="15" customHeight="1" s="91">
      <c r="A212" s="90" t="inlineStr">
        <is>
          <t>Rutgers</t>
        </is>
      </c>
      <c r="B212" s="90" t="inlineStr">
        <is>
          <t>Finance &amp; Economics</t>
        </is>
      </c>
      <c r="C212" s="90" t="n">
        <v>22</v>
      </c>
      <c r="D212" s="90" t="n">
        <v>22</v>
      </c>
      <c r="E212" s="90" t="inlineStr">
        <is>
          <t>Confirmed</t>
        </is>
      </c>
      <c r="F212" s="90" t="n">
        <v>0</v>
      </c>
    </row>
    <row r="213" ht="15" customHeight="1" s="91">
      <c r="A213" s="90" t="inlineStr">
        <is>
          <t>Rutgers</t>
        </is>
      </c>
      <c r="B213" s="90" t="inlineStr">
        <is>
          <t>Management &amp; Global Business</t>
        </is>
      </c>
      <c r="C213" s="90" t="n">
        <v>29</v>
      </c>
      <c r="D213" s="90" t="n">
        <v>21</v>
      </c>
      <c r="E213" s="90" t="inlineStr">
        <is>
          <t>Discrepancy</t>
        </is>
      </c>
      <c r="F213" s="90" t="n">
        <v>-8</v>
      </c>
    </row>
    <row r="214" ht="15" customHeight="1" s="91">
      <c r="A214" s="90" t="inlineStr">
        <is>
          <t>Rutgers</t>
        </is>
      </c>
      <c r="B214" s="90" t="inlineStr">
        <is>
          <t>Management Science &amp; Information Systems</t>
        </is>
      </c>
      <c r="C214" s="90" t="n">
        <v>17</v>
      </c>
      <c r="D214" s="90" t="n">
        <v>13</v>
      </c>
      <c r="E214" s="90" t="inlineStr">
        <is>
          <t>Discrepancy</t>
        </is>
      </c>
      <c r="F214" s="90" t="n">
        <v>-4</v>
      </c>
    </row>
    <row r="215" ht="15" customHeight="1" s="91">
      <c r="A215" s="90" t="inlineStr">
        <is>
          <t>Rutgers</t>
        </is>
      </c>
      <c r="B215" s="90" t="inlineStr">
        <is>
          <t>Marketing</t>
        </is>
      </c>
      <c r="C215" s="90" t="n">
        <v>12</v>
      </c>
      <c r="D215" s="90" t="n">
        <v>13</v>
      </c>
      <c r="E215" s="90" t="inlineStr">
        <is>
          <t>Close (±1-2)</t>
        </is>
      </c>
      <c r="F215" s="90" t="n">
        <v>1</v>
      </c>
    </row>
    <row r="216" ht="15" customHeight="1" s="91">
      <c r="A216" s="90" t="inlineStr">
        <is>
          <t>Rutgers</t>
        </is>
      </c>
      <c r="B216" s="90" t="inlineStr">
        <is>
          <t>Supply Chain Management</t>
        </is>
      </c>
      <c r="C216" s="90" t="n">
        <v>14</v>
      </c>
      <c r="D216" s="90" t="n">
        <v>14</v>
      </c>
      <c r="E216" s="90" t="inlineStr">
        <is>
          <t>Confirmed</t>
        </is>
      </c>
      <c r="F216" s="90" t="n">
        <v>0</v>
      </c>
    </row>
    <row r="217" ht="15" customHeight="1" s="91">
      <c r="A217" s="90" t="inlineStr">
        <is>
          <t>SMU Cox</t>
        </is>
      </c>
      <c r="B217" s="90" t="inlineStr">
        <is>
          <t>Accounting</t>
        </is>
      </c>
      <c r="C217" s="90" t="n">
        <v>11</v>
      </c>
      <c r="D217" s="90" t="n">
        <v>10</v>
      </c>
      <c r="E217" s="90" t="inlineStr">
        <is>
          <t>Close (±1-2)</t>
        </is>
      </c>
      <c r="F217" s="90" t="n">
        <v>-1</v>
      </c>
    </row>
    <row r="218" ht="15" customHeight="1" s="91">
      <c r="A218" s="90" t="inlineStr">
        <is>
          <t>SMU Cox</t>
        </is>
      </c>
      <c r="B218" s="90" t="inlineStr">
        <is>
          <t>Finance</t>
        </is>
      </c>
      <c r="C218" s="90" t="n">
        <v>18</v>
      </c>
      <c r="D218" s="90" t="n">
        <v>19</v>
      </c>
      <c r="E218" s="90" t="inlineStr">
        <is>
          <t>Close (±1-2)</t>
        </is>
      </c>
      <c r="F218" s="90" t="n">
        <v>1</v>
      </c>
    </row>
    <row r="219" ht="15" customHeight="1" s="91">
      <c r="A219" s="90" t="inlineStr">
        <is>
          <t>SMU Cox</t>
        </is>
      </c>
      <c r="B219" s="90" t="inlineStr">
        <is>
          <t>Information Technology and Operations Management</t>
        </is>
      </c>
      <c r="C219" s="90" t="n">
        <v>10</v>
      </c>
      <c r="D219" s="90" t="n">
        <v>9</v>
      </c>
      <c r="E219" s="90" t="inlineStr">
        <is>
          <t>Close (±1-2)</t>
        </is>
      </c>
      <c r="F219" s="90" t="n">
        <v>-1</v>
      </c>
    </row>
    <row r="220" ht="15" customHeight="1" s="91">
      <c r="A220" s="90" t="inlineStr">
        <is>
          <t>SMU Cox</t>
        </is>
      </c>
      <c r="B220" s="90" t="inlineStr">
        <is>
          <t>Management, Strategy, and Entrepreneurship</t>
        </is>
      </c>
      <c r="C220" s="90" t="n">
        <v>8</v>
      </c>
      <c r="D220" s="90" t="n">
        <v>8</v>
      </c>
      <c r="E220" s="90" t="inlineStr">
        <is>
          <t>Confirmed</t>
        </is>
      </c>
      <c r="F220" s="90" t="n">
        <v>0</v>
      </c>
    </row>
    <row r="221" ht="15" customHeight="1" s="91">
      <c r="A221" s="90" t="inlineStr">
        <is>
          <t>SMU Cox</t>
        </is>
      </c>
      <c r="B221" s="90" t="inlineStr">
        <is>
          <t>Marketing</t>
        </is>
      </c>
      <c r="C221" s="90" t="n">
        <v>11</v>
      </c>
      <c r="D221" s="90" t="n">
        <v>8</v>
      </c>
      <c r="E221" s="90" t="inlineStr">
        <is>
          <t>Discrepancy</t>
        </is>
      </c>
      <c r="F221" s="90" t="n">
        <v>-3</v>
      </c>
    </row>
    <row r="222" ht="15" customHeight="1" s="91">
      <c r="A222" s="90" t="inlineStr">
        <is>
          <t>SMU Cox</t>
        </is>
      </c>
      <c r="B222" s="90" t="inlineStr">
        <is>
          <t>Real Estate Risk Mgt Business Law</t>
        </is>
      </c>
      <c r="C222" s="90" t="n">
        <v>1</v>
      </c>
      <c r="D222" s="90" t="n">
        <v>1</v>
      </c>
      <c r="E222" s="90" t="inlineStr">
        <is>
          <t>Confirmed</t>
        </is>
      </c>
      <c r="F222" s="90" t="n">
        <v>0</v>
      </c>
    </row>
    <row r="223" ht="15" customHeight="1" s="91">
      <c r="A223" s="90" t="inlineStr">
        <is>
          <t>Stanford GSB</t>
        </is>
      </c>
      <c r="B223" s="90" t="inlineStr">
        <is>
          <t>Accounting</t>
        </is>
      </c>
      <c r="C223" s="90" t="n">
        <v>15</v>
      </c>
      <c r="D223" s="90" t="n">
        <v>15</v>
      </c>
      <c r="E223" s="90" t="inlineStr">
        <is>
          <t>Confirmed</t>
        </is>
      </c>
      <c r="F223" s="90" t="n">
        <v>0</v>
      </c>
    </row>
    <row r="224" ht="15" customHeight="1" s="91">
      <c r="A224" s="90" t="inlineStr">
        <is>
          <t>Stanford GSB</t>
        </is>
      </c>
      <c r="B224" s="90" t="inlineStr">
        <is>
          <t>Economic Analysis &amp; Policy</t>
        </is>
      </c>
      <c r="C224" s="90" t="n">
        <v>25</v>
      </c>
      <c r="D224" s="90" t="n">
        <v>25</v>
      </c>
      <c r="E224" s="90" t="inlineStr">
        <is>
          <t>Confirmed</t>
        </is>
      </c>
      <c r="F224" s="90" t="n">
        <v>0</v>
      </c>
    </row>
    <row r="225" ht="15" customHeight="1" s="91">
      <c r="A225" s="90" t="inlineStr">
        <is>
          <t>Stanford GSB</t>
        </is>
      </c>
      <c r="B225" s="90" t="inlineStr">
        <is>
          <t>Finance</t>
        </is>
      </c>
      <c r="C225" s="90" t="n">
        <v>22</v>
      </c>
      <c r="D225" s="90" t="n">
        <v>22</v>
      </c>
      <c r="E225" s="90" t="inlineStr">
        <is>
          <t>Confirmed</t>
        </is>
      </c>
      <c r="F225" s="90" t="n">
        <v>0</v>
      </c>
    </row>
    <row r="226" ht="15" customHeight="1" s="91">
      <c r="A226" s="90" t="inlineStr">
        <is>
          <t>Stanford GSB</t>
        </is>
      </c>
      <c r="B226" s="90" t="inlineStr">
        <is>
          <t>Marketing</t>
        </is>
      </c>
      <c r="C226" s="90" t="n">
        <v>15</v>
      </c>
      <c r="D226" s="90" t="n">
        <v>15</v>
      </c>
      <c r="E226" s="90" t="inlineStr">
        <is>
          <t>Confirmed</t>
        </is>
      </c>
      <c r="F226" s="90" t="n">
        <v>0</v>
      </c>
    </row>
    <row r="227" ht="15" customHeight="1" s="91">
      <c r="A227" s="90" t="inlineStr">
        <is>
          <t>Stanford GSB</t>
        </is>
      </c>
      <c r="B227" s="90" t="inlineStr">
        <is>
          <t>Operations, Information &amp; Technology</t>
        </is>
      </c>
      <c r="C227" s="90" t="n">
        <v>11</v>
      </c>
      <c r="D227" s="90" t="n">
        <v>12</v>
      </c>
      <c r="E227" s="90" t="inlineStr">
        <is>
          <t>Close (±1-2)</t>
        </is>
      </c>
      <c r="F227" s="90" t="n">
        <v>1</v>
      </c>
    </row>
    <row r="228" ht="15" customHeight="1" s="91">
      <c r="A228" s="90" t="inlineStr">
        <is>
          <t>Stanford GSB</t>
        </is>
      </c>
      <c r="B228" s="90" t="inlineStr">
        <is>
          <t>Organizational Behavior</t>
        </is>
      </c>
      <c r="C228" s="90" t="n">
        <v>23</v>
      </c>
      <c r="D228" s="90" t="n">
        <v>23</v>
      </c>
      <c r="E228" s="90" t="inlineStr">
        <is>
          <t>Confirmed</t>
        </is>
      </c>
      <c r="F228" s="90" t="n">
        <v>0</v>
      </c>
    </row>
    <row r="229" ht="15" customHeight="1" s="91">
      <c r="A229" s="90" t="inlineStr">
        <is>
          <t>Stanford GSB</t>
        </is>
      </c>
      <c r="B229" s="90" t="inlineStr">
        <is>
          <t>Political Economy</t>
        </is>
      </c>
      <c r="C229" s="90" t="n">
        <v>11</v>
      </c>
      <c r="D229" s="90" t="n">
        <v>11</v>
      </c>
      <c r="E229" s="90" t="inlineStr">
        <is>
          <t>Confirmed</t>
        </is>
      </c>
      <c r="F229" s="90" t="n">
        <v>0</v>
      </c>
    </row>
    <row r="230" ht="15" customHeight="1" s="91">
      <c r="A230" s="90" t="inlineStr">
        <is>
          <t>Tennessee Haslam</t>
        </is>
      </c>
      <c r="B230" s="90" t="inlineStr">
        <is>
          <t>Accounting &amp; Information Management</t>
        </is>
      </c>
      <c r="C230" s="90" t="n">
        <v>17</v>
      </c>
      <c r="D230" s="90" t="n">
        <v>16</v>
      </c>
      <c r="E230" s="90" t="inlineStr">
        <is>
          <t>Close (±1-2)</t>
        </is>
      </c>
      <c r="F230" s="90" t="n">
        <v>-1</v>
      </c>
    </row>
    <row r="231" ht="15" customHeight="1" s="91">
      <c r="A231" s="90" t="inlineStr">
        <is>
          <t>Tennessee Haslam</t>
        </is>
      </c>
      <c r="B231" s="90" t="inlineStr">
        <is>
          <t>Business Analytics &amp; Statistics</t>
        </is>
      </c>
      <c r="C231" s="90" t="n">
        <v>14</v>
      </c>
      <c r="D231" s="90" t="n">
        <v>15</v>
      </c>
      <c r="E231" s="90" t="inlineStr">
        <is>
          <t>Close (±1-2)</t>
        </is>
      </c>
      <c r="F231" s="90" t="n">
        <v>1</v>
      </c>
    </row>
    <row r="232" ht="15" customHeight="1" s="91">
      <c r="A232" s="90" t="inlineStr">
        <is>
          <t>Tennessee Haslam</t>
        </is>
      </c>
      <c r="B232" s="90" t="inlineStr">
        <is>
          <t>Economics</t>
        </is>
      </c>
      <c r="C232" s="90" t="n">
        <v>22</v>
      </c>
      <c r="D232" s="90" t="n">
        <v>20</v>
      </c>
      <c r="E232" s="90" t="inlineStr">
        <is>
          <t>Close (±1-2)</t>
        </is>
      </c>
      <c r="F232" s="90" t="n">
        <v>-2</v>
      </c>
    </row>
    <row r="233" ht="15" customHeight="1" s="91">
      <c r="A233" s="90" t="inlineStr">
        <is>
          <t>Tennessee Haslam</t>
        </is>
      </c>
      <c r="B233" s="90" t="inlineStr">
        <is>
          <t>Finance</t>
        </is>
      </c>
      <c r="C233" s="90" t="n">
        <v>14</v>
      </c>
      <c r="D233" s="90" t="n">
        <v>11</v>
      </c>
      <c r="E233" s="90" t="inlineStr">
        <is>
          <t>Discrepancy</t>
        </is>
      </c>
      <c r="F233" s="90" t="n">
        <v>-3</v>
      </c>
    </row>
    <row r="234" ht="15" customHeight="1" s="91">
      <c r="A234" s="90" t="inlineStr">
        <is>
          <t>Tennessee Haslam</t>
        </is>
      </c>
      <c r="B234" s="90" t="inlineStr">
        <is>
          <t>Management</t>
        </is>
      </c>
      <c r="C234" s="90" t="n">
        <v>12</v>
      </c>
      <c r="D234" s="90" t="n">
        <v>12</v>
      </c>
      <c r="E234" s="90" t="inlineStr">
        <is>
          <t>Confirmed</t>
        </is>
      </c>
      <c r="F234" s="90" t="n">
        <v>0</v>
      </c>
    </row>
    <row r="235" ht="15" customHeight="1" s="91">
      <c r="A235" s="90" t="inlineStr">
        <is>
          <t>Tennessee Haslam</t>
        </is>
      </c>
      <c r="B235" s="90" t="inlineStr">
        <is>
          <t>Marketing</t>
        </is>
      </c>
      <c r="C235" s="90" t="n">
        <v>13</v>
      </c>
      <c r="D235" s="90" t="n">
        <v>14</v>
      </c>
      <c r="E235" s="90" t="inlineStr">
        <is>
          <t>Close (±1-2)</t>
        </is>
      </c>
      <c r="F235" s="90" t="n">
        <v>1</v>
      </c>
    </row>
    <row r="236" ht="15" customHeight="1" s="91">
      <c r="A236" s="90" t="inlineStr">
        <is>
          <t>Tennessee Haslam</t>
        </is>
      </c>
      <c r="B236" s="90" t="inlineStr">
        <is>
          <t>Supply Chain Management</t>
        </is>
      </c>
      <c r="C236" s="90" t="n">
        <v>14</v>
      </c>
      <c r="D236" s="90" t="n">
        <v>17</v>
      </c>
      <c r="E236" s="90" t="inlineStr">
        <is>
          <t>Discrepancy</t>
        </is>
      </c>
      <c r="F236" s="90" t="n">
        <v>3</v>
      </c>
    </row>
    <row r="237" ht="15" customHeight="1" s="91">
      <c r="A237" s="90" t="inlineStr">
        <is>
          <t>Texas A&amp;M Mays</t>
        </is>
      </c>
      <c r="B237" s="90" t="inlineStr">
        <is>
          <t>Accounting</t>
        </is>
      </c>
      <c r="C237" s="90" t="n">
        <v>24</v>
      </c>
      <c r="D237" s="90" t="n">
        <v>28</v>
      </c>
      <c r="E237" s="90" t="inlineStr">
        <is>
          <t>Discrepancy</t>
        </is>
      </c>
      <c r="F237" s="90" t="n">
        <v>4</v>
      </c>
    </row>
    <row r="238" ht="15" customHeight="1" s="91">
      <c r="A238" s="90" t="inlineStr">
        <is>
          <t>Texas A&amp;M Mays</t>
        </is>
      </c>
      <c r="B238" s="90" t="inlineStr">
        <is>
          <t>Finance</t>
        </is>
      </c>
      <c r="C238" s="90" t="n">
        <v>22</v>
      </c>
      <c r="D238" s="90" t="n">
        <v>24</v>
      </c>
      <c r="E238" s="90" t="inlineStr">
        <is>
          <t>Close (±1-2)</t>
        </is>
      </c>
      <c r="F238" s="90" t="n">
        <v>2</v>
      </c>
    </row>
    <row r="239" ht="15" customHeight="1" s="91">
      <c r="A239" s="90" t="inlineStr">
        <is>
          <t>Texas A&amp;M Mays</t>
        </is>
      </c>
      <c r="B239" s="90" t="inlineStr">
        <is>
          <t>Information &amp; Operations Management</t>
        </is>
      </c>
      <c r="C239" s="90" t="n">
        <v>16</v>
      </c>
      <c r="D239" s="90" t="n">
        <v>23</v>
      </c>
      <c r="E239" s="90" t="inlineStr">
        <is>
          <t>Discrepancy</t>
        </is>
      </c>
      <c r="F239" s="90" t="n">
        <v>7</v>
      </c>
    </row>
    <row r="240" ht="15" customHeight="1" s="91">
      <c r="A240" s="90" t="inlineStr">
        <is>
          <t>Texas A&amp;M Mays</t>
        </is>
      </c>
      <c r="B240" s="90" t="inlineStr">
        <is>
          <t>Management</t>
        </is>
      </c>
      <c r="C240" s="90" t="n">
        <v>19</v>
      </c>
      <c r="D240" s="90" t="n">
        <v>22</v>
      </c>
      <c r="E240" s="90" t="inlineStr">
        <is>
          <t>Discrepancy</t>
        </is>
      </c>
      <c r="F240" s="90" t="n">
        <v>3</v>
      </c>
    </row>
    <row r="241" ht="15" customHeight="1" s="91">
      <c r="A241" s="90" t="inlineStr">
        <is>
          <t>Texas A&amp;M Mays</t>
        </is>
      </c>
      <c r="B241" s="90" t="inlineStr">
        <is>
          <t>Marketing</t>
        </is>
      </c>
      <c r="C241" s="90" t="n">
        <v>18</v>
      </c>
      <c r="D241" s="90" t="n">
        <v>20</v>
      </c>
      <c r="E241" s="90" t="inlineStr">
        <is>
          <t>Close (±1-2)</t>
        </is>
      </c>
      <c r="F241" s="90" t="n">
        <v>2</v>
      </c>
    </row>
    <row r="242" ht="15" customHeight="1" s="91">
      <c r="A242" s="90" t="inlineStr">
        <is>
          <t>Tulane Freeman</t>
        </is>
      </c>
      <c r="B242" s="90" t="inlineStr">
        <is>
          <t>Accounting</t>
        </is>
      </c>
      <c r="C242" s="90" t="n">
        <v>9</v>
      </c>
      <c r="D242" s="90" t="n">
        <v>9</v>
      </c>
      <c r="E242" s="90" t="inlineStr">
        <is>
          <t>Confirmed</t>
        </is>
      </c>
      <c r="F242" s="90" t="n">
        <v>0</v>
      </c>
    </row>
    <row r="243" ht="15" customHeight="1" s="91">
      <c r="A243" s="90" t="inlineStr">
        <is>
          <t>Tulane Freeman</t>
        </is>
      </c>
      <c r="B243" s="90" t="inlineStr">
        <is>
          <t>Finance</t>
        </is>
      </c>
      <c r="C243" s="90" t="n">
        <v>18</v>
      </c>
      <c r="D243" s="90" t="n">
        <v>18</v>
      </c>
      <c r="E243" s="90" t="inlineStr">
        <is>
          <t>Confirmed</t>
        </is>
      </c>
      <c r="F243" s="90" t="n">
        <v>0</v>
      </c>
    </row>
    <row r="244" ht="15" customHeight="1" s="91">
      <c r="A244" s="90" t="inlineStr">
        <is>
          <t>Tulane Freeman</t>
        </is>
      </c>
      <c r="B244" s="90" t="inlineStr">
        <is>
          <t>Management</t>
        </is>
      </c>
      <c r="C244" s="90" t="n">
        <v>13</v>
      </c>
      <c r="D244" s="90" t="n">
        <v>13</v>
      </c>
      <c r="E244" s="90" t="inlineStr">
        <is>
          <t>Confirmed</t>
        </is>
      </c>
      <c r="F244" s="90" t="n">
        <v>0</v>
      </c>
    </row>
    <row r="245" ht="15" customHeight="1" s="91">
      <c r="A245" s="90" t="inlineStr">
        <is>
          <t>Tulane Freeman</t>
        </is>
      </c>
      <c r="B245" s="90" t="inlineStr">
        <is>
          <t>Management Science</t>
        </is>
      </c>
      <c r="C245" s="90" t="n">
        <v>9</v>
      </c>
      <c r="D245" s="90" t="n">
        <v>9</v>
      </c>
      <c r="E245" s="90" t="inlineStr">
        <is>
          <t>Confirmed</t>
        </is>
      </c>
      <c r="F245" s="90" t="n">
        <v>0</v>
      </c>
    </row>
    <row r="246" ht="15" customHeight="1" s="91">
      <c r="A246" s="90" t="inlineStr">
        <is>
          <t>Tulane Freeman</t>
        </is>
      </c>
      <c r="B246" s="90" t="inlineStr">
        <is>
          <t>Marketing</t>
        </is>
      </c>
      <c r="C246" s="90" t="n">
        <v>8</v>
      </c>
      <c r="D246" s="90" t="n">
        <v>8</v>
      </c>
      <c r="E246" s="90" t="inlineStr">
        <is>
          <t>Confirmed</t>
        </is>
      </c>
      <c r="F246" s="90" t="n">
        <v>0</v>
      </c>
    </row>
    <row r="247" ht="15" customHeight="1" s="91">
      <c r="A247" s="90" t="inlineStr">
        <is>
          <t>UC Irvine Merage</t>
        </is>
      </c>
      <c r="B247" s="90" t="inlineStr">
        <is>
          <t>Accounting</t>
        </is>
      </c>
      <c r="C247" s="90" t="n">
        <v>7</v>
      </c>
      <c r="D247" s="90" t="n">
        <v>7</v>
      </c>
      <c r="E247" s="90" t="inlineStr">
        <is>
          <t>Confirmed</t>
        </is>
      </c>
      <c r="F247" s="90" t="n">
        <v>0</v>
      </c>
    </row>
    <row r="248" ht="15" customHeight="1" s="91">
      <c r="A248" s="90" t="inlineStr">
        <is>
          <t>UC Irvine Merage</t>
        </is>
      </c>
      <c r="B248" s="90" t="inlineStr">
        <is>
          <t>Economics/Public Policy</t>
        </is>
      </c>
      <c r="C248" s="90" t="n">
        <v>2</v>
      </c>
      <c r="D248" s="90" t="n">
        <v>1</v>
      </c>
      <c r="E248" s="90" t="inlineStr">
        <is>
          <t>Close (±1-2)</t>
        </is>
      </c>
      <c r="F248" s="90" t="n">
        <v>-1</v>
      </c>
    </row>
    <row r="249" ht="15" customHeight="1" s="91">
      <c r="A249" s="90" t="inlineStr">
        <is>
          <t>UC Irvine Merage</t>
        </is>
      </c>
      <c r="B249" s="90" t="inlineStr">
        <is>
          <t>Finance</t>
        </is>
      </c>
      <c r="C249" s="90" t="n">
        <v>7</v>
      </c>
      <c r="D249" s="90" t="n">
        <v>7</v>
      </c>
      <c r="E249" s="90" t="inlineStr">
        <is>
          <t>Confirmed</t>
        </is>
      </c>
      <c r="F249" s="90" t="n">
        <v>0</v>
      </c>
    </row>
    <row r="250" ht="15" customHeight="1" s="91">
      <c r="A250" s="90" t="inlineStr">
        <is>
          <t>UC Irvine Merage</t>
        </is>
      </c>
      <c r="B250" s="90" t="inlineStr">
        <is>
          <t>Information Systems</t>
        </is>
      </c>
      <c r="C250" s="90" t="n">
        <v>7</v>
      </c>
      <c r="D250" s="90" t="n">
        <v>7</v>
      </c>
      <c r="E250" s="90" t="inlineStr">
        <is>
          <t>Confirmed</t>
        </is>
      </c>
      <c r="F250" s="90" t="n">
        <v>0</v>
      </c>
    </row>
    <row r="251" ht="15" customHeight="1" s="91">
      <c r="A251" s="90" t="inlineStr">
        <is>
          <t>UC Irvine Merage</t>
        </is>
      </c>
      <c r="B251" s="90" t="inlineStr">
        <is>
          <t>Marketing</t>
        </is>
      </c>
      <c r="C251" s="90" t="n">
        <v>8</v>
      </c>
      <c r="D251" s="90" t="n">
        <v>8</v>
      </c>
      <c r="E251" s="90" t="inlineStr">
        <is>
          <t>Confirmed</t>
        </is>
      </c>
      <c r="F251" s="90" t="n">
        <v>0</v>
      </c>
    </row>
    <row r="252" ht="15" customHeight="1" s="91">
      <c r="A252" s="90" t="inlineStr">
        <is>
          <t>UC Irvine Merage</t>
        </is>
      </c>
      <c r="B252" s="90" t="inlineStr">
        <is>
          <t>Operations and Decision Technologies</t>
        </is>
      </c>
      <c r="C252" s="90" t="n">
        <v>6</v>
      </c>
      <c r="D252" s="90" t="n">
        <v>6</v>
      </c>
      <c r="E252" s="90" t="inlineStr">
        <is>
          <t>Confirmed</t>
        </is>
      </c>
      <c r="F252" s="90" t="n">
        <v>0</v>
      </c>
    </row>
    <row r="253" ht="15" customHeight="1" s="91">
      <c r="A253" s="90" t="inlineStr">
        <is>
          <t>UC Irvine Merage</t>
        </is>
      </c>
      <c r="B253" s="90" t="inlineStr">
        <is>
          <t>Organization and Management</t>
        </is>
      </c>
      <c r="C253" s="90" t="n">
        <v>8</v>
      </c>
      <c r="D253" s="90" t="n">
        <v>7</v>
      </c>
      <c r="E253" s="90" t="inlineStr">
        <is>
          <t>Close (±1-2)</t>
        </is>
      </c>
      <c r="F253" s="90" t="n">
        <v>-1</v>
      </c>
    </row>
    <row r="254" ht="15" customHeight="1" s="91">
      <c r="A254" s="90" t="inlineStr">
        <is>
          <t>UC Irvine Merage</t>
        </is>
      </c>
      <c r="B254" s="90" t="inlineStr">
        <is>
          <t>Strategy and Entrepreneurship</t>
        </is>
      </c>
      <c r="C254" s="90" t="n">
        <v>5</v>
      </c>
      <c r="D254" s="90" t="n">
        <v>5</v>
      </c>
      <c r="E254" s="90" t="inlineStr">
        <is>
          <t>Confirmed</t>
        </is>
      </c>
      <c r="F254" s="90" t="n">
        <v>0</v>
      </c>
    </row>
    <row r="255" ht="15" customHeight="1" s="91">
      <c r="A255" s="90" t="inlineStr">
        <is>
          <t>UCLA Anderson</t>
        </is>
      </c>
      <c r="B255" s="90" t="inlineStr">
        <is>
          <t>Accounting</t>
        </is>
      </c>
      <c r="C255" s="90" t="n">
        <v>5</v>
      </c>
      <c r="D255" s="90" t="n">
        <v>5</v>
      </c>
      <c r="E255" s="90" t="inlineStr">
        <is>
          <t>Confirmed</t>
        </is>
      </c>
      <c r="F255" s="90" t="n">
        <v>0</v>
      </c>
    </row>
    <row r="256" ht="15" customHeight="1" s="91">
      <c r="A256" s="90" t="inlineStr">
        <is>
          <t>UCLA Anderson</t>
        </is>
      </c>
      <c r="B256" s="90" t="inlineStr">
        <is>
          <t>Decisions, Operations &amp; Technology Management</t>
        </is>
      </c>
      <c r="C256" s="90" t="n">
        <v>9</v>
      </c>
      <c r="D256" s="90" t="n">
        <v>10</v>
      </c>
      <c r="E256" s="90" t="inlineStr">
        <is>
          <t>Close (±1-2)</t>
        </is>
      </c>
      <c r="F256" s="90" t="n">
        <v>1</v>
      </c>
    </row>
    <row r="257" ht="15" customHeight="1" s="91">
      <c r="A257" s="90" t="inlineStr">
        <is>
          <t>UCLA Anderson</t>
        </is>
      </c>
      <c r="B257" s="90" t="inlineStr">
        <is>
          <t>Finance</t>
        </is>
      </c>
      <c r="C257" s="90" t="n">
        <v>12</v>
      </c>
      <c r="D257" s="90" t="n">
        <v>13</v>
      </c>
      <c r="E257" s="90" t="inlineStr">
        <is>
          <t>Close (±1-2)</t>
        </is>
      </c>
      <c r="F257" s="90" t="n">
        <v>1</v>
      </c>
    </row>
    <row r="258" ht="15" customHeight="1" s="91">
      <c r="A258" s="90" t="inlineStr">
        <is>
          <t>UCLA Anderson</t>
        </is>
      </c>
      <c r="B258" s="90" t="inlineStr">
        <is>
          <t>Global Economics &amp; Management</t>
        </is>
      </c>
      <c r="C258" s="90" t="n">
        <v>4</v>
      </c>
      <c r="D258" s="90" t="n">
        <v>4</v>
      </c>
      <c r="E258" s="90" t="inlineStr">
        <is>
          <t>Confirmed</t>
        </is>
      </c>
      <c r="F258" s="90" t="n">
        <v>0</v>
      </c>
    </row>
    <row r="259" ht="15" customHeight="1" s="91">
      <c r="A259" s="90" t="inlineStr">
        <is>
          <t>UCLA Anderson</t>
        </is>
      </c>
      <c r="B259" s="90" t="inlineStr">
        <is>
          <t>Human Resources &amp; Organizational Behavior</t>
        </is>
      </c>
      <c r="C259" s="90" t="n">
        <v>14</v>
      </c>
      <c r="D259" s="90" t="n">
        <v>14</v>
      </c>
      <c r="E259" s="90" t="inlineStr">
        <is>
          <t>Confirmed</t>
        </is>
      </c>
      <c r="F259" s="90" t="n">
        <v>0</v>
      </c>
    </row>
    <row r="260" ht="15" customHeight="1" s="91">
      <c r="A260" s="90" t="inlineStr">
        <is>
          <t>UCLA Anderson</t>
        </is>
      </c>
      <c r="B260" s="90" t="inlineStr">
        <is>
          <t>Marketing</t>
        </is>
      </c>
      <c r="C260" s="90" t="n">
        <v>14</v>
      </c>
      <c r="D260" s="90" t="n">
        <v>14</v>
      </c>
      <c r="E260" s="90" t="inlineStr">
        <is>
          <t>Confirmed</t>
        </is>
      </c>
      <c r="F260" s="90" t="n">
        <v>0</v>
      </c>
    </row>
    <row r="261" ht="15" customHeight="1" s="91">
      <c r="A261" s="90" t="inlineStr">
        <is>
          <t>UCLA Anderson</t>
        </is>
      </c>
      <c r="B261" s="90" t="inlineStr">
        <is>
          <t>Strategy</t>
        </is>
      </c>
      <c r="C261" s="90" t="n">
        <v>10</v>
      </c>
      <c r="D261" s="90" t="n">
        <v>10</v>
      </c>
      <c r="E261" s="90" t="inlineStr">
        <is>
          <t>Confirmed</t>
        </is>
      </c>
      <c r="F261" s="90" t="n">
        <v>0</v>
      </c>
    </row>
    <row r="262" ht="15" customHeight="1" s="91">
      <c r="A262" s="90" t="inlineStr">
        <is>
          <t>UF Warrington</t>
        </is>
      </c>
      <c r="B262" s="90" t="inlineStr">
        <is>
          <t>Accounting</t>
        </is>
      </c>
      <c r="C262" s="90" t="n">
        <v>10</v>
      </c>
      <c r="D262" s="90" t="n">
        <v>15</v>
      </c>
      <c r="E262" s="90" t="inlineStr">
        <is>
          <t>Discrepancy</t>
        </is>
      </c>
      <c r="F262" s="90" t="n">
        <v>5</v>
      </c>
    </row>
    <row r="263" ht="15" customHeight="1" s="91">
      <c r="A263" s="90" t="inlineStr">
        <is>
          <t>UF Warrington</t>
        </is>
      </c>
      <c r="B263" s="90" t="inlineStr">
        <is>
          <t>Finance, Insurance &amp; Real Estate</t>
        </is>
      </c>
      <c r="C263" s="90" t="n">
        <v>7</v>
      </c>
      <c r="D263" s="90" t="n">
        <v>22</v>
      </c>
      <c r="E263" s="90" t="inlineStr">
        <is>
          <t>Discrepancy</t>
        </is>
      </c>
      <c r="F263" s="90" t="n">
        <v>15</v>
      </c>
    </row>
    <row r="264" ht="15" customHeight="1" s="91">
      <c r="A264" s="90" t="inlineStr">
        <is>
          <t>UF Warrington</t>
        </is>
      </c>
      <c r="B264" s="90" t="inlineStr">
        <is>
          <t>Information Systems &amp; Operations Management</t>
        </is>
      </c>
      <c r="C264" s="90" t="n">
        <v>15</v>
      </c>
      <c r="D264" s="90" t="n">
        <v>21</v>
      </c>
      <c r="E264" s="90" t="inlineStr">
        <is>
          <t>Discrepancy</t>
        </is>
      </c>
      <c r="F264" s="90" t="n">
        <v>6</v>
      </c>
    </row>
    <row r="265" ht="15" customHeight="1" s="91">
      <c r="A265" s="90" t="inlineStr">
        <is>
          <t>UF Warrington</t>
        </is>
      </c>
      <c r="B265" s="90" t="inlineStr">
        <is>
          <t>Management</t>
        </is>
      </c>
      <c r="C265" s="90" t="n">
        <v>6</v>
      </c>
      <c r="D265" s="90" t="n">
        <v>15</v>
      </c>
      <c r="E265" s="90" t="inlineStr">
        <is>
          <t>Discrepancy</t>
        </is>
      </c>
      <c r="F265" s="90" t="n">
        <v>9</v>
      </c>
    </row>
    <row r="266" ht="15" customHeight="1" s="91">
      <c r="A266" s="90" t="inlineStr">
        <is>
          <t>UF Warrington</t>
        </is>
      </c>
      <c r="B266" s="90" t="inlineStr">
        <is>
          <t>Marketing</t>
        </is>
      </c>
      <c r="C266" s="90" t="n">
        <v>12</v>
      </c>
      <c r="D266" s="90" t="n">
        <v>14</v>
      </c>
      <c r="E266" s="90" t="inlineStr">
        <is>
          <t>Close (±1-2)</t>
        </is>
      </c>
      <c r="F266" s="90" t="n">
        <v>2</v>
      </c>
    </row>
    <row r="267" ht="15" customHeight="1" s="91">
      <c r="A267" s="90" t="inlineStr">
        <is>
          <t>UNC Kenan-Flagler</t>
        </is>
      </c>
      <c r="B267" s="90" t="inlineStr">
        <is>
          <t>Accounting</t>
        </is>
      </c>
      <c r="C267" s="90" t="n">
        <v>12</v>
      </c>
      <c r="D267" s="90" t="n">
        <v>16</v>
      </c>
      <c r="E267" s="90" t="inlineStr">
        <is>
          <t>Discrepancy</t>
        </is>
      </c>
      <c r="F267" s="90" t="n">
        <v>4</v>
      </c>
    </row>
    <row r="268" ht="15" customHeight="1" s="91">
      <c r="A268" s="90" t="inlineStr">
        <is>
          <t>UNC Kenan-Flagler</t>
        </is>
      </c>
      <c r="B268" s="90" t="inlineStr">
        <is>
          <t>Finance</t>
        </is>
      </c>
      <c r="C268" s="90" t="n">
        <v>20</v>
      </c>
      <c r="D268" s="90" t="n">
        <v>20</v>
      </c>
      <c r="E268" s="90" t="inlineStr">
        <is>
          <t>Confirmed</t>
        </is>
      </c>
      <c r="F268" s="90" t="n">
        <v>0</v>
      </c>
    </row>
    <row r="269" ht="15" customHeight="1" s="91">
      <c r="A269" s="90" t="inlineStr">
        <is>
          <t>UNC Kenan-Flagler</t>
        </is>
      </c>
      <c r="B269" s="90" t="inlineStr">
        <is>
          <t>Marketing</t>
        </is>
      </c>
      <c r="C269" s="90" t="n">
        <v>13</v>
      </c>
      <c r="D269" s="90" t="n">
        <v>15</v>
      </c>
      <c r="E269" s="90" t="inlineStr">
        <is>
          <t>Close (±1-2)</t>
        </is>
      </c>
      <c r="F269" s="90" t="n">
        <v>2</v>
      </c>
    </row>
    <row r="270" ht="15" customHeight="1" s="91">
      <c r="A270" s="90" t="inlineStr">
        <is>
          <t>UNC Kenan-Flagler</t>
        </is>
      </c>
      <c r="B270" s="90" t="inlineStr">
        <is>
          <t>Operations</t>
        </is>
      </c>
      <c r="C270" s="90" t="n">
        <v>11</v>
      </c>
      <c r="D270" s="90" t="n">
        <v>14</v>
      </c>
      <c r="E270" s="90" t="inlineStr">
        <is>
          <t>Discrepancy</t>
        </is>
      </c>
      <c r="F270" s="90" t="n">
        <v>3</v>
      </c>
    </row>
    <row r="271" ht="15" customHeight="1" s="91">
      <c r="A271" s="90" t="inlineStr">
        <is>
          <t>UNC Kenan-Flagler</t>
        </is>
      </c>
      <c r="B271" s="90" t="inlineStr">
        <is>
          <t>Organizational Behavior</t>
        </is>
      </c>
      <c r="C271" s="90" t="n">
        <v>11</v>
      </c>
      <c r="D271" s="90" t="n">
        <v>10</v>
      </c>
      <c r="E271" s="90" t="inlineStr">
        <is>
          <t>Close (±1-2)</t>
        </is>
      </c>
      <c r="F271" s="90" t="n">
        <v>-1</v>
      </c>
    </row>
    <row r="272" ht="15" customHeight="1" s="91">
      <c r="A272" s="90" t="inlineStr">
        <is>
          <t>UNC Kenan-Flagler</t>
        </is>
      </c>
      <c r="B272" s="90" t="inlineStr">
        <is>
          <t>Strategy and Entrepreneurship</t>
        </is>
      </c>
      <c r="C272" s="90" t="n">
        <v>14</v>
      </c>
      <c r="D272" s="90" t="n">
        <v>13</v>
      </c>
      <c r="E272" s="90" t="inlineStr">
        <is>
          <t>Close (±1-2)</t>
        </is>
      </c>
      <c r="F272" s="90" t="n">
        <v>-1</v>
      </c>
    </row>
    <row r="273" ht="15" customHeight="1" s="91">
      <c r="A273" s="90" t="inlineStr">
        <is>
          <t>USC Marshall</t>
        </is>
      </c>
      <c r="B273" s="90" t="inlineStr">
        <is>
          <t>Accounting</t>
        </is>
      </c>
      <c r="C273" s="90" t="n">
        <v>21</v>
      </c>
      <c r="D273" s="90" t="n">
        <v>24</v>
      </c>
      <c r="E273" s="90" t="inlineStr">
        <is>
          <t>Discrepancy</t>
        </is>
      </c>
      <c r="F273" s="90" t="n">
        <v>3</v>
      </c>
    </row>
    <row r="274" ht="15" customHeight="1" s="91">
      <c r="A274" s="90" t="inlineStr">
        <is>
          <t>USC Marshall</t>
        </is>
      </c>
      <c r="B274" s="90" t="inlineStr">
        <is>
          <t>Data Sciences &amp; Operations</t>
        </is>
      </c>
      <c r="C274" s="90" t="n">
        <v>31</v>
      </c>
      <c r="D274" s="90" t="n">
        <v>26</v>
      </c>
      <c r="E274" s="90" t="inlineStr">
        <is>
          <t>Discrepancy</t>
        </is>
      </c>
      <c r="F274" s="90" t="n">
        <v>-5</v>
      </c>
    </row>
    <row r="275" ht="15" customHeight="1" s="91">
      <c r="A275" s="90" t="inlineStr">
        <is>
          <t>USC Marshall</t>
        </is>
      </c>
      <c r="B275" s="90" t="inlineStr">
        <is>
          <t>Entrepreneurship</t>
        </is>
      </c>
      <c r="C275" s="90" t="n">
        <v>2</v>
      </c>
      <c r="D275" s="90" t="n">
        <v>0</v>
      </c>
      <c r="E275" s="90" t="inlineStr">
        <is>
          <t>Close (±1-2)</t>
        </is>
      </c>
      <c r="F275" s="90" t="n">
        <v>-2</v>
      </c>
    </row>
    <row r="276" ht="15" customHeight="1" s="91">
      <c r="A276" s="90" t="inlineStr">
        <is>
          <t>USC Marshall</t>
        </is>
      </c>
      <c r="B276" s="90" t="inlineStr">
        <is>
          <t>Finance &amp; Business Economics</t>
        </is>
      </c>
      <c r="C276" s="90" t="n">
        <v>38</v>
      </c>
      <c r="D276" s="90" t="n">
        <v>40</v>
      </c>
      <c r="E276" s="90" t="inlineStr">
        <is>
          <t>Close (±1-2)</t>
        </is>
      </c>
      <c r="F276" s="90" t="n">
        <v>2</v>
      </c>
    </row>
    <row r="277" ht="15" customHeight="1" s="91">
      <c r="A277" s="90" t="inlineStr">
        <is>
          <t>USC Marshall</t>
        </is>
      </c>
      <c r="B277" s="90" t="inlineStr">
        <is>
          <t>Management &amp; Organization</t>
        </is>
      </c>
      <c r="C277" s="90" t="n">
        <v>21</v>
      </c>
      <c r="D277" s="90" t="n">
        <v>27</v>
      </c>
      <c r="E277" s="90" t="inlineStr">
        <is>
          <t>Discrepancy</t>
        </is>
      </c>
      <c r="F277" s="90" t="n">
        <v>6</v>
      </c>
    </row>
    <row r="278" ht="15" customHeight="1" s="91">
      <c r="A278" s="90" t="inlineStr">
        <is>
          <t>USC Marshall</t>
        </is>
      </c>
      <c r="B278" s="90" t="inlineStr">
        <is>
          <t>Marketing</t>
        </is>
      </c>
      <c r="C278" s="90" t="n">
        <v>23</v>
      </c>
      <c r="D278" s="90" t="n">
        <v>27</v>
      </c>
      <c r="E278" s="90" t="inlineStr">
        <is>
          <t>Discrepancy</t>
        </is>
      </c>
      <c r="F278" s="90" t="n">
        <v>4</v>
      </c>
    </row>
    <row r="279" ht="15" customHeight="1" s="91">
      <c r="A279" s="90" t="inlineStr">
        <is>
          <t>UT McCombs</t>
        </is>
      </c>
      <c r="B279" s="90" t="inlineStr">
        <is>
          <t>Accounting</t>
        </is>
      </c>
      <c r="C279" s="90" t="n">
        <v>22</v>
      </c>
      <c r="D279" s="90" t="n">
        <v>23</v>
      </c>
      <c r="E279" s="90" t="inlineStr">
        <is>
          <t>Close (±1-2)</t>
        </is>
      </c>
      <c r="F279" s="90" t="n">
        <v>1</v>
      </c>
    </row>
    <row r="280" ht="15" customHeight="1" s="91">
      <c r="A280" s="90" t="inlineStr">
        <is>
          <t>UT McCombs</t>
        </is>
      </c>
      <c r="B280" s="90" t="inlineStr">
        <is>
          <t>Business, Government &amp; Society</t>
        </is>
      </c>
      <c r="C280" s="90" t="n">
        <v>10</v>
      </c>
      <c r="D280" s="90" t="n">
        <v>11</v>
      </c>
      <c r="E280" s="90" t="inlineStr">
        <is>
          <t>Close (±1-2)</t>
        </is>
      </c>
      <c r="F280" s="90" t="n">
        <v>1</v>
      </c>
    </row>
    <row r="281" ht="15" customHeight="1" s="91">
      <c r="A281" s="90" t="inlineStr">
        <is>
          <t>UT McCombs</t>
        </is>
      </c>
      <c r="B281" s="90" t="inlineStr">
        <is>
          <t>Finance</t>
        </is>
      </c>
      <c r="C281" s="90" t="n">
        <v>28</v>
      </c>
      <c r="D281" s="90" t="n">
        <v>30</v>
      </c>
      <c r="E281" s="90" t="inlineStr">
        <is>
          <t>Close (±1-2)</t>
        </is>
      </c>
      <c r="F281" s="90" t="n">
        <v>2</v>
      </c>
    </row>
    <row r="282" ht="15" customHeight="1" s="91">
      <c r="A282" s="90" t="inlineStr">
        <is>
          <t>UT McCombs</t>
        </is>
      </c>
      <c r="B282" s="90" t="inlineStr">
        <is>
          <t>Information, Risk &amp; Operations Management</t>
        </is>
      </c>
      <c r="C282" s="90" t="n">
        <v>37</v>
      </c>
      <c r="D282" s="90" t="n">
        <v>37</v>
      </c>
      <c r="E282" s="90" t="inlineStr">
        <is>
          <t>Confirmed</t>
        </is>
      </c>
      <c r="F282" s="90" t="n">
        <v>0</v>
      </c>
    </row>
    <row r="283" ht="15" customHeight="1" s="91">
      <c r="A283" s="90" t="inlineStr">
        <is>
          <t>UT McCombs</t>
        </is>
      </c>
      <c r="B283" s="90" t="inlineStr">
        <is>
          <t>Management</t>
        </is>
      </c>
      <c r="C283" s="90" t="n">
        <v>20</v>
      </c>
      <c r="D283" s="90" t="n">
        <v>25</v>
      </c>
      <c r="E283" s="90" t="inlineStr">
        <is>
          <t>Discrepancy</t>
        </is>
      </c>
      <c r="F283" s="90" t="n">
        <v>5</v>
      </c>
    </row>
    <row r="284" ht="15" customHeight="1" s="91">
      <c r="A284" s="90" t="inlineStr">
        <is>
          <t>UT McCombs</t>
        </is>
      </c>
      <c r="B284" s="90" t="inlineStr">
        <is>
          <t>Marketing</t>
        </is>
      </c>
      <c r="C284" s="90" t="n">
        <v>21</v>
      </c>
      <c r="D284" s="90" t="n">
        <v>22</v>
      </c>
      <c r="E284" s="90" t="inlineStr">
        <is>
          <t>Close (±1-2)</t>
        </is>
      </c>
      <c r="F284" s="90" t="n">
        <v>1</v>
      </c>
    </row>
    <row r="285" ht="15" customHeight="1" s="91">
      <c r="A285" s="90" t="inlineStr">
        <is>
          <t>UVA Darden</t>
        </is>
      </c>
      <c r="B285" s="90" t="inlineStr">
        <is>
          <t>Accounting</t>
        </is>
      </c>
      <c r="C285" s="90" t="n">
        <v>7</v>
      </c>
      <c r="D285" s="90" t="n">
        <v>7</v>
      </c>
      <c r="E285" s="90" t="inlineStr">
        <is>
          <t>Confirmed</t>
        </is>
      </c>
      <c r="F285" s="90" t="n">
        <v>0</v>
      </c>
    </row>
    <row r="286" ht="15" customHeight="1" s="91">
      <c r="A286" s="90" t="inlineStr">
        <is>
          <t>UVA Darden</t>
        </is>
      </c>
      <c r="B286" s="90" t="inlineStr">
        <is>
          <t>Communication</t>
        </is>
      </c>
      <c r="C286" s="90" t="n">
        <v>5</v>
      </c>
      <c r="D286" s="90" t="n">
        <v>4</v>
      </c>
      <c r="E286" s="90" t="inlineStr">
        <is>
          <t>Close (±1-2)</t>
        </is>
      </c>
      <c r="F286" s="90" t="n">
        <v>-1</v>
      </c>
    </row>
    <row r="287" ht="15" customHeight="1" s="91">
      <c r="A287" s="90" t="inlineStr">
        <is>
          <t>UVA Darden</t>
        </is>
      </c>
      <c r="B287" s="90" t="inlineStr">
        <is>
          <t>Data Analytics and Decision Sciences</t>
        </is>
      </c>
      <c r="C287" s="90" t="n">
        <v>11</v>
      </c>
      <c r="D287" s="90" t="n">
        <v>10</v>
      </c>
      <c r="E287" s="90" t="inlineStr">
        <is>
          <t>Close (±1-2)</t>
        </is>
      </c>
      <c r="F287" s="90" t="n">
        <v>-1</v>
      </c>
    </row>
    <row r="288" ht="15" customHeight="1" s="91">
      <c r="A288" s="90" t="inlineStr">
        <is>
          <t>UVA Darden</t>
        </is>
      </c>
      <c r="B288" s="90" t="inlineStr">
        <is>
          <t>Finance</t>
        </is>
      </c>
      <c r="C288" s="90" t="n">
        <v>13</v>
      </c>
      <c r="D288" s="90" t="n">
        <v>12</v>
      </c>
      <c r="E288" s="90" t="inlineStr">
        <is>
          <t>Close (±1-2)</t>
        </is>
      </c>
      <c r="F288" s="90" t="n">
        <v>-1</v>
      </c>
    </row>
    <row r="289" ht="15" customHeight="1" s="91">
      <c r="A289" s="90" t="inlineStr">
        <is>
          <t>UVA Darden</t>
        </is>
      </c>
      <c r="B289" s="90" t="inlineStr">
        <is>
          <t>Global Economies and Markets</t>
        </is>
      </c>
      <c r="C289" s="90" t="n">
        <v>10</v>
      </c>
      <c r="D289" s="90" t="n">
        <v>9</v>
      </c>
      <c r="E289" s="90" t="inlineStr">
        <is>
          <t>Close (±1-2)</t>
        </is>
      </c>
      <c r="F289" s="90" t="n">
        <v>-1</v>
      </c>
    </row>
    <row r="290" ht="15" customHeight="1" s="91">
      <c r="A290" s="90" t="inlineStr">
        <is>
          <t>UVA Darden</t>
        </is>
      </c>
      <c r="B290" s="90" t="inlineStr">
        <is>
          <t>Leadership and Organizational Behavior</t>
        </is>
      </c>
      <c r="C290" s="90" t="n">
        <v>12</v>
      </c>
      <c r="D290" s="90" t="n">
        <v>11</v>
      </c>
      <c r="E290" s="90" t="inlineStr">
        <is>
          <t>Close (±1-2)</t>
        </is>
      </c>
      <c r="F290" s="90" t="n">
        <v>-1</v>
      </c>
    </row>
    <row r="291" ht="15" customHeight="1" s="91">
      <c r="A291" s="90" t="inlineStr">
        <is>
          <t>UVA Darden</t>
        </is>
      </c>
      <c r="B291" s="90" t="inlineStr">
        <is>
          <t>Marketing</t>
        </is>
      </c>
      <c r="C291" s="90" t="n">
        <v>8</v>
      </c>
      <c r="D291" s="90" t="n">
        <v>7</v>
      </c>
      <c r="E291" s="90" t="inlineStr">
        <is>
          <t>Close (±1-2)</t>
        </is>
      </c>
      <c r="F291" s="90" t="n">
        <v>-1</v>
      </c>
    </row>
    <row r="292" ht="15" customHeight="1" s="91">
      <c r="A292" s="90" t="inlineStr">
        <is>
          <t>UVA Darden</t>
        </is>
      </c>
      <c r="B292" s="90" t="inlineStr">
        <is>
          <t>Strategy, Ethics &amp; Entrepreneurship</t>
        </is>
      </c>
      <c r="C292" s="90" t="n">
        <v>16</v>
      </c>
      <c r="D292" s="90" t="n">
        <v>16</v>
      </c>
      <c r="E292" s="90" t="inlineStr">
        <is>
          <t>Confirmed</t>
        </is>
      </c>
      <c r="F292" s="90" t="n">
        <v>0</v>
      </c>
    </row>
    <row r="293" ht="15" customHeight="1" s="91">
      <c r="A293" s="90" t="inlineStr">
        <is>
          <t>UVA Darden</t>
        </is>
      </c>
      <c r="B293" s="90" t="inlineStr">
        <is>
          <t>Technology and Operations Management</t>
        </is>
      </c>
      <c r="C293" s="90" t="n">
        <v>7</v>
      </c>
      <c r="D293" s="90" t="n">
        <v>6</v>
      </c>
      <c r="E293" s="90" t="inlineStr">
        <is>
          <t>Close (±1-2)</t>
        </is>
      </c>
      <c r="F293" s="90" t="n">
        <v>-1</v>
      </c>
    </row>
    <row r="294" ht="15" customHeight="1" s="91">
      <c r="A294" s="90" t="inlineStr">
        <is>
          <t>UW Foster</t>
        </is>
      </c>
      <c r="B294" s="90" t="inlineStr">
        <is>
          <t>Accounting</t>
        </is>
      </c>
      <c r="C294" s="90" t="n">
        <v>18</v>
      </c>
      <c r="D294" s="90" t="n">
        <v>18</v>
      </c>
      <c r="E294" s="90" t="inlineStr">
        <is>
          <t>Confirmed</t>
        </is>
      </c>
      <c r="F294" s="90" t="n">
        <v>0</v>
      </c>
    </row>
    <row r="295" ht="15" customHeight="1" s="91">
      <c r="A295" s="90" t="inlineStr">
        <is>
          <t>UW Foster</t>
        </is>
      </c>
      <c r="B295" s="90" t="inlineStr">
        <is>
          <t>Business Ethics</t>
        </is>
      </c>
      <c r="C295" s="90" t="n">
        <v>1</v>
      </c>
      <c r="D295" s="90" t="n">
        <v>1</v>
      </c>
      <c r="E295" s="90" t="inlineStr">
        <is>
          <t>Confirmed</t>
        </is>
      </c>
      <c r="F295" s="90" t="n">
        <v>0</v>
      </c>
    </row>
    <row r="296" ht="15" customHeight="1" s="91">
      <c r="A296" s="90" t="inlineStr">
        <is>
          <t>UW Foster</t>
        </is>
      </c>
      <c r="B296" s="90" t="inlineStr">
        <is>
          <t>Finance and Business Economics</t>
        </is>
      </c>
      <c r="C296" s="90" t="n">
        <v>17</v>
      </c>
      <c r="D296" s="90" t="n">
        <v>18</v>
      </c>
      <c r="E296" s="90" t="inlineStr">
        <is>
          <t>Close (±1-2)</t>
        </is>
      </c>
      <c r="F296" s="90" t="n">
        <v>1</v>
      </c>
    </row>
    <row r="297" ht="15" customHeight="1" s="91">
      <c r="A297" s="90" t="inlineStr">
        <is>
          <t>UW Foster</t>
        </is>
      </c>
      <c r="B297" s="90" t="inlineStr">
        <is>
          <t>Information Systems</t>
        </is>
      </c>
      <c r="C297" s="90" t="n">
        <v>9</v>
      </c>
      <c r="D297" s="90" t="n">
        <v>9</v>
      </c>
      <c r="E297" s="90" t="inlineStr">
        <is>
          <t>Confirmed</t>
        </is>
      </c>
      <c r="F297" s="90" t="n">
        <v>0</v>
      </c>
    </row>
    <row r="298" ht="15" customHeight="1" s="91">
      <c r="A298" s="90" t="inlineStr">
        <is>
          <t>UW Foster</t>
        </is>
      </c>
      <c r="B298" s="90" t="inlineStr">
        <is>
          <t>Management and Organization</t>
        </is>
      </c>
      <c r="C298" s="90" t="n">
        <v>21</v>
      </c>
      <c r="D298" s="90" t="n">
        <v>20</v>
      </c>
      <c r="E298" s="90" t="inlineStr">
        <is>
          <t>Close (±1-2)</t>
        </is>
      </c>
      <c r="F298" s="90" t="n">
        <v>-1</v>
      </c>
    </row>
    <row r="299" ht="15" customHeight="1" s="91">
      <c r="A299" s="90" t="inlineStr">
        <is>
          <t>UW Foster</t>
        </is>
      </c>
      <c r="B299" s="90" t="inlineStr">
        <is>
          <t>Marketing</t>
        </is>
      </c>
      <c r="C299" s="90" t="n">
        <v>17</v>
      </c>
      <c r="D299" s="90" t="n">
        <v>17</v>
      </c>
      <c r="E299" s="90" t="inlineStr">
        <is>
          <t>Confirmed</t>
        </is>
      </c>
      <c r="F299" s="90" t="n">
        <v>0</v>
      </c>
    </row>
    <row r="300" ht="15" customHeight="1" s="91">
      <c r="A300" s="90" t="inlineStr">
        <is>
          <t>UW Foster</t>
        </is>
      </c>
      <c r="B300" s="90" t="inlineStr">
        <is>
          <t>Operations Management</t>
        </is>
      </c>
      <c r="C300" s="90" t="n">
        <v>8</v>
      </c>
      <c r="D300" s="90" t="n">
        <v>8</v>
      </c>
      <c r="E300" s="90" t="inlineStr">
        <is>
          <t>Confirmed</t>
        </is>
      </c>
      <c r="F300" s="90" t="n">
        <v>0</v>
      </c>
    </row>
    <row r="301" ht="15" customHeight="1" s="91">
      <c r="A301" s="90" t="inlineStr">
        <is>
          <t>UW Foster</t>
        </is>
      </c>
      <c r="B301" s="90" t="inlineStr">
        <is>
          <t>Quantitative Methods</t>
        </is>
      </c>
      <c r="C301" s="90" t="n">
        <v>1</v>
      </c>
      <c r="D301" s="90" t="n">
        <v>1</v>
      </c>
      <c r="E301" s="90" t="inlineStr">
        <is>
          <t>Confirmed</t>
        </is>
      </c>
      <c r="F301" s="90" t="n">
        <v>0</v>
      </c>
    </row>
    <row r="302" ht="15" customHeight="1" s="91">
      <c r="A302" s="90" t="inlineStr">
        <is>
          <t>UW Foster</t>
        </is>
      </c>
      <c r="B302" s="90" t="inlineStr">
        <is>
          <t>Strategy and Entrepreneurship</t>
        </is>
      </c>
      <c r="C302" s="90" t="n">
        <v>3</v>
      </c>
      <c r="D302" s="90" t="n">
        <v>3</v>
      </c>
      <c r="E302" s="90" t="inlineStr">
        <is>
          <t>Confirmed</t>
        </is>
      </c>
      <c r="F302" s="90" t="n">
        <v>0</v>
      </c>
    </row>
    <row r="303" ht="15" customHeight="1" s="91">
      <c r="A303" s="90" t="inlineStr">
        <is>
          <t>Utah Eccles</t>
        </is>
      </c>
      <c r="B303" s="90" t="inlineStr">
        <is>
          <t>Entrepreneurship &amp; Strategy</t>
        </is>
      </c>
      <c r="C303" s="90" t="n">
        <v>12</v>
      </c>
      <c r="D303" s="90" t="n">
        <v>13</v>
      </c>
      <c r="E303" s="90" t="inlineStr">
        <is>
          <t>Close (±1-2)</t>
        </is>
      </c>
      <c r="F303" s="90" t="n">
        <v>1</v>
      </c>
    </row>
    <row r="304" ht="15" customHeight="1" s="91">
      <c r="A304" s="90" t="inlineStr">
        <is>
          <t>Utah Eccles</t>
        </is>
      </c>
      <c r="B304" s="90" t="inlineStr">
        <is>
          <t>Finance</t>
        </is>
      </c>
      <c r="C304" s="90" t="n">
        <v>14</v>
      </c>
      <c r="D304" s="90" t="n">
        <v>14</v>
      </c>
      <c r="E304" s="90" t="inlineStr">
        <is>
          <t>Confirmed</t>
        </is>
      </c>
      <c r="F304" s="90" t="n">
        <v>0</v>
      </c>
    </row>
    <row r="305" ht="15" customHeight="1" s="91">
      <c r="A305" s="90" t="inlineStr">
        <is>
          <t>Utah Eccles</t>
        </is>
      </c>
      <c r="B305" s="90" t="inlineStr">
        <is>
          <t>Management</t>
        </is>
      </c>
      <c r="C305" s="90" t="n">
        <v>10</v>
      </c>
      <c r="D305" s="90" t="n">
        <v>10</v>
      </c>
      <c r="E305" s="90" t="inlineStr">
        <is>
          <t>Confirmed</t>
        </is>
      </c>
      <c r="F305" s="90" t="n">
        <v>0</v>
      </c>
    </row>
    <row r="306" ht="15" customHeight="1" s="91">
      <c r="A306" s="90" t="inlineStr">
        <is>
          <t>Utah Eccles</t>
        </is>
      </c>
      <c r="B306" s="90" t="inlineStr">
        <is>
          <t>Marketing</t>
        </is>
      </c>
      <c r="C306" s="90" t="n">
        <v>9</v>
      </c>
      <c r="D306" s="90" t="n">
        <v>9</v>
      </c>
      <c r="E306" s="90" t="inlineStr">
        <is>
          <t>Confirmed</t>
        </is>
      </c>
      <c r="F306" s="90" t="n">
        <v>0</v>
      </c>
    </row>
    <row r="307" ht="15" customHeight="1" s="91">
      <c r="A307" s="90" t="inlineStr">
        <is>
          <t>Utah Eccles</t>
        </is>
      </c>
      <c r="B307" s="90" t="inlineStr">
        <is>
          <t>Operations &amp; Information Systems</t>
        </is>
      </c>
      <c r="C307" s="90" t="n">
        <v>12</v>
      </c>
      <c r="D307" s="90" t="n">
        <v>11</v>
      </c>
      <c r="E307" s="90" t="inlineStr">
        <is>
          <t>Close (±1-2)</t>
        </is>
      </c>
      <c r="F307" s="90" t="n">
        <v>-1</v>
      </c>
    </row>
    <row r="308" ht="15" customHeight="1" s="91">
      <c r="A308" s="90" t="inlineStr">
        <is>
          <t>Utah Eccles</t>
        </is>
      </c>
      <c r="B308" s="90" t="inlineStr">
        <is>
          <t>Quantitative Analysis</t>
        </is>
      </c>
      <c r="C308" s="90" t="n">
        <v>3</v>
      </c>
      <c r="D308" s="90" t="n">
        <v>9</v>
      </c>
      <c r="E308" s="90" t="inlineStr">
        <is>
          <t>Discrepancy</t>
        </is>
      </c>
      <c r="F308" s="90" t="n">
        <v>6</v>
      </c>
    </row>
    <row r="309" ht="15" customHeight="1" s="91">
      <c r="A309" s="90" t="inlineStr">
        <is>
          <t>Utah Eccles</t>
        </is>
      </c>
      <c r="B309" s="90" t="inlineStr">
        <is>
          <t>School of Accounting</t>
        </is>
      </c>
      <c r="C309" s="90" t="n">
        <v>10</v>
      </c>
      <c r="D309" s="90" t="n">
        <v>10</v>
      </c>
      <c r="E309" s="90" t="inlineStr">
        <is>
          <t>Confirmed</t>
        </is>
      </c>
      <c r="F309" s="90" t="n">
        <v>0</v>
      </c>
    </row>
    <row r="310" ht="15" customHeight="1" s="91">
      <c r="A310" s="90" t="inlineStr">
        <is>
          <t>Vanderbilt Owen</t>
        </is>
      </c>
      <c r="B310" s="90" t="inlineStr">
        <is>
          <t>Accounting</t>
        </is>
      </c>
      <c r="C310" s="90" t="n">
        <v>6</v>
      </c>
      <c r="D310" s="90" t="n">
        <v>5</v>
      </c>
      <c r="E310" s="90" t="inlineStr">
        <is>
          <t>Close (±1-2)</t>
        </is>
      </c>
      <c r="F310" s="90" t="n">
        <v>-1</v>
      </c>
    </row>
    <row r="311" ht="15" customHeight="1" s="91">
      <c r="A311" s="90" t="inlineStr">
        <is>
          <t>Vanderbilt Owen</t>
        </is>
      </c>
      <c r="B311" s="90" t="inlineStr">
        <is>
          <t>Finance</t>
        </is>
      </c>
      <c r="C311" s="90" t="n">
        <v>10</v>
      </c>
      <c r="D311" s="90" t="n">
        <v>10</v>
      </c>
      <c r="E311" s="90" t="inlineStr">
        <is>
          <t>Confirmed</t>
        </is>
      </c>
      <c r="F311" s="90" t="n">
        <v>0</v>
      </c>
    </row>
    <row r="312" ht="15" customHeight="1" s="91">
      <c r="A312" s="90" t="inlineStr">
        <is>
          <t>Vanderbilt Owen</t>
        </is>
      </c>
      <c r="B312" s="90" t="inlineStr">
        <is>
          <t>Health Care</t>
        </is>
      </c>
      <c r="C312" s="90" t="n">
        <v>1</v>
      </c>
      <c r="D312" s="90" t="n">
        <v>1</v>
      </c>
      <c r="E312" s="90" t="inlineStr">
        <is>
          <t>Confirmed</t>
        </is>
      </c>
      <c r="F312" s="90" t="n">
        <v>0</v>
      </c>
    </row>
    <row r="313" ht="15" customHeight="1" s="91">
      <c r="A313" s="90" t="inlineStr">
        <is>
          <t>Vanderbilt Owen</t>
        </is>
      </c>
      <c r="B313" s="90" t="inlineStr">
        <is>
          <t>Management</t>
        </is>
      </c>
      <c r="C313" s="90" t="n">
        <v>14</v>
      </c>
      <c r="D313" s="90" t="n">
        <v>12</v>
      </c>
      <c r="E313" s="90" t="inlineStr">
        <is>
          <t>Close (±1-2)</t>
        </is>
      </c>
      <c r="F313" s="90" t="n">
        <v>-2</v>
      </c>
    </row>
    <row r="314" ht="15" customHeight="1" s="91">
      <c r="A314" s="90" t="inlineStr">
        <is>
          <t>Vanderbilt Owen</t>
        </is>
      </c>
      <c r="B314" s="90" t="inlineStr">
        <is>
          <t>Marketing</t>
        </is>
      </c>
      <c r="C314" s="90" t="n">
        <v>10</v>
      </c>
      <c r="D314" s="90" t="n">
        <v>8</v>
      </c>
      <c r="E314" s="90" t="inlineStr">
        <is>
          <t>Close (±1-2)</t>
        </is>
      </c>
      <c r="F314" s="90" t="n">
        <v>-2</v>
      </c>
    </row>
    <row r="315" ht="15" customHeight="1" s="91">
      <c r="A315" s="90" t="inlineStr">
        <is>
          <t>Vanderbilt Owen</t>
        </is>
      </c>
      <c r="B315" s="90" t="inlineStr">
        <is>
          <t>Operations Management</t>
        </is>
      </c>
      <c r="C315" s="90" t="n">
        <v>8</v>
      </c>
      <c r="D315" s="90" t="n">
        <v>7</v>
      </c>
      <c r="E315" s="90" t="inlineStr">
        <is>
          <t>Close (±1-2)</t>
        </is>
      </c>
      <c r="F315" s="90" t="n">
        <v>-1</v>
      </c>
    </row>
    <row r="316" ht="15" customHeight="1" s="91">
      <c r="A316" s="90" t="inlineStr">
        <is>
          <t>WashU Olin</t>
        </is>
      </c>
      <c r="B316" s="90" t="inlineStr">
        <is>
          <t>Accounting</t>
        </is>
      </c>
      <c r="C316" s="90" t="n">
        <v>6</v>
      </c>
      <c r="D316" s="90" t="n">
        <v>9</v>
      </c>
      <c r="E316" s="90" t="inlineStr">
        <is>
          <t>Discrepancy</t>
        </is>
      </c>
      <c r="F316" s="90" t="n">
        <v>3</v>
      </c>
    </row>
    <row r="317" ht="15" customHeight="1" s="91">
      <c r="A317" s="90" t="inlineStr">
        <is>
          <t>WashU Olin</t>
        </is>
      </c>
      <c r="B317" s="90" t="inlineStr">
        <is>
          <t>Finance</t>
        </is>
      </c>
      <c r="C317" s="90" t="n">
        <v>9</v>
      </c>
      <c r="D317" s="90" t="n">
        <v>20</v>
      </c>
      <c r="E317" s="90" t="inlineStr">
        <is>
          <t>Discrepancy</t>
        </is>
      </c>
      <c r="F317" s="90" t="n">
        <v>11</v>
      </c>
    </row>
    <row r="318" ht="15" customHeight="1" s="91">
      <c r="A318" s="90" t="inlineStr">
        <is>
          <t>WashU Olin</t>
        </is>
      </c>
      <c r="B318" s="90" t="inlineStr">
        <is>
          <t>Management &amp; Organizations</t>
        </is>
      </c>
      <c r="C318" s="90" t="n">
        <v>8</v>
      </c>
      <c r="D318" s="90" t="n">
        <v>12</v>
      </c>
      <c r="E318" s="90" t="inlineStr">
        <is>
          <t>Discrepancy</t>
        </is>
      </c>
      <c r="F318" s="90" t="n">
        <v>4</v>
      </c>
    </row>
    <row r="319" ht="15" customHeight="1" s="91">
      <c r="A319" s="90" t="inlineStr">
        <is>
          <t>WashU Olin</t>
        </is>
      </c>
      <c r="B319" s="90" t="inlineStr">
        <is>
          <t>Marketing</t>
        </is>
      </c>
      <c r="C319" s="90" t="n">
        <v>7</v>
      </c>
      <c r="D319" s="90" t="n">
        <v>17</v>
      </c>
      <c r="E319" s="90" t="inlineStr">
        <is>
          <t>Discrepancy</t>
        </is>
      </c>
      <c r="F319" s="90" t="n">
        <v>10</v>
      </c>
    </row>
    <row r="320" ht="15" customHeight="1" s="91">
      <c r="A320" s="90" t="inlineStr">
        <is>
          <t>WashU Olin</t>
        </is>
      </c>
      <c r="B320" s="90" t="inlineStr">
        <is>
          <t>Operations &amp; Supply Chain Management</t>
        </is>
      </c>
      <c r="C320" s="90" t="n">
        <v>7</v>
      </c>
      <c r="D320" s="90" t="n">
        <v>9</v>
      </c>
      <c r="E320" s="90" t="inlineStr">
        <is>
          <t>Close (±1-2)</t>
        </is>
      </c>
      <c r="F320" s="90" t="n">
        <v>2</v>
      </c>
    </row>
    <row r="321" ht="15" customHeight="1" s="91">
      <c r="A321" s="90" t="inlineStr">
        <is>
          <t>WashU Olin</t>
        </is>
      </c>
      <c r="B321" s="90" t="inlineStr">
        <is>
          <t>Strategy</t>
        </is>
      </c>
      <c r="C321" s="90" t="n">
        <v>7</v>
      </c>
      <c r="D321" s="90" t="n">
        <v>10</v>
      </c>
      <c r="E321" s="90" t="inlineStr">
        <is>
          <t>Discrepancy</t>
        </is>
      </c>
      <c r="F321" s="90" t="n">
        <v>3</v>
      </c>
    </row>
    <row r="322" ht="15" customHeight="1" s="91">
      <c r="A322" s="90" t="inlineStr">
        <is>
          <t>Wharton</t>
        </is>
      </c>
      <c r="B322" s="90" t="inlineStr">
        <is>
          <t>Accounting</t>
        </is>
      </c>
      <c r="C322" s="90" t="n">
        <v>20</v>
      </c>
      <c r="D322" s="90" t="n">
        <v>20</v>
      </c>
      <c r="E322" s="90" t="inlineStr">
        <is>
          <t>Confirmed</t>
        </is>
      </c>
      <c r="F322" s="90" t="n">
        <v>0</v>
      </c>
    </row>
    <row r="323" ht="15" customHeight="1" s="91">
      <c r="A323" s="90" t="inlineStr">
        <is>
          <t>Wharton</t>
        </is>
      </c>
      <c r="B323" s="90" t="inlineStr">
        <is>
          <t>Business Economics &amp; Public Policy</t>
        </is>
      </c>
      <c r="C323" s="90" t="n">
        <v>19</v>
      </c>
      <c r="D323" s="90" t="n">
        <v>19</v>
      </c>
      <c r="E323" s="90" t="inlineStr">
        <is>
          <t>Confirmed</t>
        </is>
      </c>
      <c r="F323" s="90" t="n">
        <v>0</v>
      </c>
    </row>
    <row r="324" ht="15" customHeight="1" s="91">
      <c r="A324" s="90" t="inlineStr">
        <is>
          <t>Wharton</t>
        </is>
      </c>
      <c r="B324" s="90" t="inlineStr">
        <is>
          <t>Finance</t>
        </is>
      </c>
      <c r="C324" s="90" t="n">
        <v>39</v>
      </c>
      <c r="D324" s="90" t="n">
        <v>39</v>
      </c>
      <c r="E324" s="90" t="inlineStr">
        <is>
          <t>Confirmed</t>
        </is>
      </c>
      <c r="F324" s="90" t="n">
        <v>0</v>
      </c>
    </row>
    <row r="325" ht="15" customHeight="1" s="91">
      <c r="A325" s="90" t="inlineStr">
        <is>
          <t>Wharton</t>
        </is>
      </c>
      <c r="B325" s="90" t="inlineStr">
        <is>
          <t>Health Care Management</t>
        </is>
      </c>
      <c r="C325" s="90" t="n">
        <v>10</v>
      </c>
      <c r="D325" s="90" t="n">
        <v>10</v>
      </c>
      <c r="E325" s="90" t="inlineStr">
        <is>
          <t>Confirmed</t>
        </is>
      </c>
      <c r="F325" s="90" t="n">
        <v>0</v>
      </c>
    </row>
    <row r="326" ht="15" customHeight="1" s="91">
      <c r="A326" s="90" t="inlineStr">
        <is>
          <t>Wharton</t>
        </is>
      </c>
      <c r="B326" s="90" t="inlineStr">
        <is>
          <t>Legal Studies &amp; Business Ethics</t>
        </is>
      </c>
      <c r="C326" s="90" t="n">
        <v>21</v>
      </c>
      <c r="D326" s="90" t="n">
        <v>20</v>
      </c>
      <c r="E326" s="90" t="inlineStr">
        <is>
          <t>Close (±1-2)</t>
        </is>
      </c>
      <c r="F326" s="90" t="n">
        <v>-1</v>
      </c>
    </row>
    <row r="327" ht="15" customHeight="1" s="91">
      <c r="A327" s="90" t="inlineStr">
        <is>
          <t>Wharton</t>
        </is>
      </c>
      <c r="B327" s="90" t="inlineStr">
        <is>
          <t>Management</t>
        </is>
      </c>
      <c r="C327" s="90" t="n">
        <v>47</v>
      </c>
      <c r="D327" s="90" t="n">
        <v>47</v>
      </c>
      <c r="E327" s="90" t="inlineStr">
        <is>
          <t>Confirmed</t>
        </is>
      </c>
      <c r="F327" s="90" t="n">
        <v>0</v>
      </c>
    </row>
    <row r="328" ht="15" customHeight="1" s="91">
      <c r="A328" s="90" t="inlineStr">
        <is>
          <t>Wharton</t>
        </is>
      </c>
      <c r="B328" s="90" t="inlineStr">
        <is>
          <t>Marketing</t>
        </is>
      </c>
      <c r="C328" s="90" t="n">
        <v>27</v>
      </c>
      <c r="D328" s="90" t="n">
        <v>27</v>
      </c>
      <c r="E328" s="90" t="inlineStr">
        <is>
          <t>Confirmed</t>
        </is>
      </c>
      <c r="F328" s="90" t="n">
        <v>0</v>
      </c>
    </row>
    <row r="329" ht="15" customHeight="1" s="91">
      <c r="A329" s="90" t="inlineStr">
        <is>
          <t>Wharton</t>
        </is>
      </c>
      <c r="B329" s="90" t="inlineStr">
        <is>
          <t>Operations, Information &amp; Decisions</t>
        </is>
      </c>
      <c r="C329" s="90" t="n">
        <v>30</v>
      </c>
      <c r="D329" s="90" t="n">
        <v>30</v>
      </c>
      <c r="E329" s="90" t="inlineStr">
        <is>
          <t>Confirmed</t>
        </is>
      </c>
      <c r="F329" s="90" t="n">
        <v>0</v>
      </c>
    </row>
    <row r="330" ht="15" customHeight="1" s="91">
      <c r="A330" s="90" t="inlineStr">
        <is>
          <t>Wharton</t>
        </is>
      </c>
      <c r="B330" s="90" t="inlineStr">
        <is>
          <t>Real Estate</t>
        </is>
      </c>
      <c r="C330" s="90" t="n">
        <v>10</v>
      </c>
      <c r="D330" s="90" t="n">
        <v>10</v>
      </c>
      <c r="E330" s="90" t="inlineStr">
        <is>
          <t>Confirmed</t>
        </is>
      </c>
      <c r="F330" s="90" t="n">
        <v>0</v>
      </c>
    </row>
    <row r="331" ht="15" customHeight="1" s="91">
      <c r="A331" s="90" t="inlineStr">
        <is>
          <t>Wharton</t>
        </is>
      </c>
      <c r="B331" s="90" t="inlineStr">
        <is>
          <t>Statistics &amp; Data Science</t>
        </is>
      </c>
      <c r="C331" s="90" t="n">
        <v>23</v>
      </c>
      <c r="D331" s="90" t="n">
        <v>23</v>
      </c>
      <c r="E331" s="90" t="inlineStr">
        <is>
          <t>Confirmed</t>
        </is>
      </c>
      <c r="F331" s="90" t="n">
        <v>0</v>
      </c>
    </row>
    <row r="332" ht="15" customHeight="1" s="91">
      <c r="A332" s="90" t="inlineStr">
        <is>
          <t>Wisconsin SoB</t>
        </is>
      </c>
      <c r="B332" s="90" t="inlineStr">
        <is>
          <t>Accounting and Information Systems</t>
        </is>
      </c>
      <c r="C332" s="90" t="n">
        <v>14</v>
      </c>
      <c r="D332" s="90" t="n">
        <v>15</v>
      </c>
      <c r="E332" s="90" t="inlineStr">
        <is>
          <t>Close (±1-2)</t>
        </is>
      </c>
      <c r="F332" s="90" t="n">
        <v>1</v>
      </c>
    </row>
    <row r="333" ht="15" customHeight="1" s="91">
      <c r="A333" s="90" t="inlineStr">
        <is>
          <t>Wisconsin SoB</t>
        </is>
      </c>
      <c r="B333" s="90" t="inlineStr">
        <is>
          <t>Finance, Investment, and Banking</t>
        </is>
      </c>
      <c r="C333" s="90" t="n">
        <v>15</v>
      </c>
      <c r="D333" s="90" t="n">
        <v>17</v>
      </c>
      <c r="E333" s="90" t="inlineStr">
        <is>
          <t>Close (±1-2)</t>
        </is>
      </c>
      <c r="F333" s="90" t="n">
        <v>2</v>
      </c>
    </row>
    <row r="334" ht="15" customHeight="1" s="91">
      <c r="A334" s="90" t="inlineStr">
        <is>
          <t>Wisconsin SoB</t>
        </is>
      </c>
      <c r="B334" s="90" t="inlineStr">
        <is>
          <t>Management and Human Resources</t>
        </is>
      </c>
      <c r="C334" s="90" t="n">
        <v>20</v>
      </c>
      <c r="D334" s="90" t="n">
        <v>18</v>
      </c>
      <c r="E334" s="90" t="inlineStr">
        <is>
          <t>Close (±1-2)</t>
        </is>
      </c>
      <c r="F334" s="90" t="n">
        <v>-2</v>
      </c>
    </row>
    <row r="335" ht="15" customHeight="1" s="91">
      <c r="A335" s="90" t="inlineStr">
        <is>
          <t>Wisconsin SoB</t>
        </is>
      </c>
      <c r="B335" s="90" t="inlineStr">
        <is>
          <t>Marketing</t>
        </is>
      </c>
      <c r="C335" s="90" t="n">
        <v>14</v>
      </c>
      <c r="D335" s="90" t="n">
        <v>16</v>
      </c>
      <c r="E335" s="90" t="inlineStr">
        <is>
          <t>Close (±1-2)</t>
        </is>
      </c>
      <c r="F335" s="90" t="n">
        <v>2</v>
      </c>
    </row>
    <row r="336" ht="15" customHeight="1" s="91">
      <c r="A336" s="90" t="inlineStr">
        <is>
          <t>Wisconsin SoB</t>
        </is>
      </c>
      <c r="B336" s="90" t="inlineStr">
        <is>
          <t>Operations and Technology Management</t>
        </is>
      </c>
      <c r="C336" s="90" t="n">
        <v>18</v>
      </c>
      <c r="D336" s="90" t="n">
        <v>14</v>
      </c>
      <c r="E336" s="90" t="inlineStr">
        <is>
          <t>Discrepancy</t>
        </is>
      </c>
      <c r="F336" s="90" t="n">
        <v>-4</v>
      </c>
    </row>
    <row r="337" ht="15" customHeight="1" s="91">
      <c r="A337" s="90" t="inlineStr">
        <is>
          <t>Wisconsin SoB</t>
        </is>
      </c>
      <c r="B337" s="90" t="inlineStr">
        <is>
          <t>Real Estate and Urban Land Economics</t>
        </is>
      </c>
      <c r="C337" s="90" t="n">
        <v>11</v>
      </c>
      <c r="D337" s="90" t="n">
        <v>6</v>
      </c>
      <c r="E337" s="90" t="inlineStr">
        <is>
          <t>Discrepancy</t>
        </is>
      </c>
      <c r="F337" s="90" t="n">
        <v>-5</v>
      </c>
    </row>
    <row r="338" ht="15" customHeight="1" s="91">
      <c r="A338" s="90" t="inlineStr">
        <is>
          <t>Yale SOM</t>
        </is>
      </c>
      <c r="B338" s="90" t="inlineStr">
        <is>
          <t>Accounting</t>
        </is>
      </c>
      <c r="C338" s="90" t="n">
        <v>12</v>
      </c>
      <c r="D338" s="90" t="n">
        <v>12</v>
      </c>
      <c r="E338" s="90" t="inlineStr">
        <is>
          <t>Confirmed</t>
        </is>
      </c>
      <c r="F338" s="90" t="n">
        <v>0</v>
      </c>
    </row>
    <row r="339" ht="15" customHeight="1" s="91">
      <c r="A339" s="90" t="inlineStr">
        <is>
          <t>Yale SOM</t>
        </is>
      </c>
      <c r="B339" s="90" t="inlineStr">
        <is>
          <t>Economics</t>
        </is>
      </c>
      <c r="C339" s="90" t="n">
        <v>25</v>
      </c>
      <c r="D339" s="90" t="n">
        <v>25</v>
      </c>
      <c r="E339" s="90" t="inlineStr">
        <is>
          <t>Confirmed</t>
        </is>
      </c>
      <c r="F339" s="90" t="n">
        <v>0</v>
      </c>
    </row>
    <row r="340" ht="15" customHeight="1" s="91">
      <c r="A340" s="90" t="inlineStr">
        <is>
          <t>Yale SOM</t>
        </is>
      </c>
      <c r="B340" s="90" t="inlineStr">
        <is>
          <t>Finance</t>
        </is>
      </c>
      <c r="C340" s="90" t="n">
        <v>24</v>
      </c>
      <c r="D340" s="90" t="n">
        <v>24</v>
      </c>
      <c r="E340" s="90" t="inlineStr">
        <is>
          <t>Confirmed</t>
        </is>
      </c>
      <c r="F340" s="90" t="n">
        <v>0</v>
      </c>
    </row>
    <row r="341" ht="15" customHeight="1" s="91">
      <c r="A341" s="90" t="inlineStr">
        <is>
          <t>Yale SOM</t>
        </is>
      </c>
      <c r="B341" s="90" t="inlineStr">
        <is>
          <t>Management</t>
        </is>
      </c>
      <c r="C341" s="90" t="n">
        <v>7</v>
      </c>
      <c r="D341" s="90" t="n">
        <v>7</v>
      </c>
      <c r="E341" s="90" t="inlineStr">
        <is>
          <t>Confirmed</t>
        </is>
      </c>
      <c r="F341" s="90" t="n">
        <v>0</v>
      </c>
    </row>
    <row r="342" ht="15" customHeight="1" s="91">
      <c r="A342" s="90" t="inlineStr">
        <is>
          <t>Yale SOM</t>
        </is>
      </c>
      <c r="B342" s="90" t="inlineStr">
        <is>
          <t>Marketing</t>
        </is>
      </c>
      <c r="C342" s="90" t="n">
        <v>17</v>
      </c>
      <c r="D342" s="90" t="n">
        <v>17</v>
      </c>
      <c r="E342" s="90" t="inlineStr">
        <is>
          <t>Confirmed</t>
        </is>
      </c>
      <c r="F342" s="90" t="n">
        <v>0</v>
      </c>
    </row>
    <row r="343" ht="15" customHeight="1" s="91">
      <c r="A343" s="90" t="inlineStr">
        <is>
          <t>Yale SOM</t>
        </is>
      </c>
      <c r="B343" s="90" t="inlineStr">
        <is>
          <t>Operations</t>
        </is>
      </c>
      <c r="C343" s="90" t="n">
        <v>12</v>
      </c>
      <c r="D343" s="90" t="n">
        <v>12</v>
      </c>
      <c r="E343" s="90" t="inlineStr">
        <is>
          <t>Confirmed</t>
        </is>
      </c>
      <c r="F343" s="90" t="n">
        <v>0</v>
      </c>
    </row>
    <row r="344" ht="15" customHeight="1" s="91">
      <c r="A344" s="90" t="inlineStr">
        <is>
          <t>Yale SOM</t>
        </is>
      </c>
      <c r="B344" s="90" t="inlineStr">
        <is>
          <t>Organizational Behavior</t>
        </is>
      </c>
      <c r="C344" s="90" t="n">
        <v>13</v>
      </c>
      <c r="D344" s="90" t="n">
        <v>13</v>
      </c>
      <c r="E344" s="90" t="inlineStr">
        <is>
          <t>Confirmed</t>
        </is>
      </c>
      <c r="F344" s="90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0" customWidth="1" style="90" min="1" max="1"/>
  </cols>
  <sheetData>
    <row r="1" ht="15" customHeight="1" s="91">
      <c r="A1" s="90" t="inlineStr">
        <is>
          <t>Business School Faculty Composition Analysis - Key Findings</t>
        </is>
      </c>
    </row>
    <row r="3" ht="15" customHeight="1" s="91">
      <c r="A3" s="90" t="inlineStr">
        <is>
          <t>RANKINGS CROSS-REFERENCED:</t>
        </is>
      </c>
    </row>
    <row r="4" ht="15" customHeight="1" s="91">
      <c r="A4" s="90" t="inlineStr">
        <is>
          <t xml:space="preserve">  US News 2025 MBA, US News 2026 Undergraduate Business,</t>
        </is>
      </c>
    </row>
    <row r="5" ht="15" customHeight="1" s="91">
      <c r="A5" s="90" t="inlineStr">
        <is>
          <t xml:space="preserve">  Bloomberg Businessweek 2025-26 MBA, Financial Times 2026 MBA,</t>
        </is>
      </c>
    </row>
    <row r="6" ht="15" customHeight="1" s="91">
      <c r="A6" s="90" t="inlineStr">
        <is>
          <t xml:space="preserve">  Poets &amp; Quants Composite. Schools included if ranked ~top 50 in any major ranking.</t>
        </is>
      </c>
    </row>
    <row r="8" ht="15" customHeight="1" s="91">
      <c r="A8" s="90" t="inlineStr">
        <is>
          <t>Dataset: 49 Top US Business Schools (Iowa Tippie &amp; Arkansas Walton excluded — servers unavailable at scrape time)</t>
        </is>
      </c>
    </row>
    <row r="9" ht="15" customHeight="1" s="91">
      <c r="A9" s="90" t="inlineStr">
        <is>
          <t>Total tenure-track faculty counted: 4903</t>
        </is>
      </c>
    </row>
    <row r="10" ht="15" customHeight="1" s="91">
      <c r="A10" s="90" t="inlineStr">
        <is>
          <t>Average TT faculty per school: 100</t>
        </is>
      </c>
    </row>
    <row r="12" ht="15" customHeight="1" s="91">
      <c r="A12" s="90" t="inlineStr">
        <is>
          <t>MOST COMMON DEPARTMENTS (ordered by prevalence):</t>
        </is>
      </c>
    </row>
    <row r="13" ht="15" customHeight="1" s="91">
      <c r="A13" s="90" t="inlineStr">
        <is>
          <t xml:space="preserve">  Accounting: 49/49 schools (100%) — avg 13.6 faculty (14.1% of total)</t>
        </is>
      </c>
    </row>
    <row r="14" ht="15" customHeight="1" s="91">
      <c r="A14" s="90" t="inlineStr">
        <is>
          <t xml:space="preserve">  Finance: 49/49 schools (100%) — avg 18.4 faculty (18.7% of total)</t>
        </is>
      </c>
    </row>
    <row r="15" ht="15" customHeight="1" s="91">
      <c r="A15" s="90" t="inlineStr">
        <is>
          <t xml:space="preserve">  Marketing: 49/49 schools (100%) — avg 14.4 faculty (15.2% of total)</t>
        </is>
      </c>
    </row>
    <row r="16" ht="15" customHeight="1" s="91">
      <c r="A16" s="90" t="inlineStr">
        <is>
          <t xml:space="preserve">  Management &amp; OB: 46/49 schools (94%) — avg 17.7 faculty (17.6% of total)</t>
        </is>
      </c>
    </row>
    <row r="17" ht="15" customHeight="1" s="91">
      <c r="A17" s="90" t="inlineStr">
        <is>
          <t xml:space="preserve">  Operations &amp; Information: 46/49 schools (94%) — avg 17.1 faculty (17.8% of total)</t>
        </is>
      </c>
    </row>
    <row r="18" ht="15" customHeight="1" s="91">
      <c r="A18" s="90" t="inlineStr">
        <is>
          <t xml:space="preserve">  Economics &amp; Policy: 27/49 schools (55%) — avg 17.4 faculty (15.3% of total)</t>
        </is>
      </c>
    </row>
    <row r="19" ht="15" customHeight="1" s="91">
      <c r="A19" s="90" t="inlineStr">
        <is>
          <t xml:space="preserve">  Strategy: 22/49 schools (45%) — avg 11.3 faculty (12.7% of total)</t>
        </is>
      </c>
    </row>
    <row r="20" ht="15" customHeight="1" s="91">
      <c r="A20" s="90" t="inlineStr">
        <is>
          <t xml:space="preserve">  Statistics &amp; OR: 9/49 schools (18%) — avg 13.9 faculty (10.3% of total)</t>
        </is>
      </c>
    </row>
    <row r="21" ht="15" customHeight="1" s="91">
      <c r="A21" s="90" t="inlineStr">
        <is>
          <t xml:space="preserve">  Legal &amp; Ethics: 7/49 schools (14%) — avg 8.9 faculty (5.8% of total)</t>
        </is>
      </c>
    </row>
    <row r="22" ht="15" customHeight="1" s="91">
      <c r="A22" s="90" t="inlineStr">
        <is>
          <t xml:space="preserve">  Entrepreneurship: 6/49 schools (12%) — avg 13.2 faculty (9.2% of total)</t>
        </is>
      </c>
    </row>
    <row r="23" ht="15" customHeight="1" s="91">
      <c r="A23" s="90" t="inlineStr">
        <is>
          <t xml:space="preserve">  Other: 4/49 schools (8%) — avg 4.2 faculty (4.2% of total)</t>
        </is>
      </c>
    </row>
    <row r="24" ht="15" customHeight="1" s="91">
      <c r="A24" s="90" t="inlineStr">
        <is>
          <t xml:space="preserve">  Health Care: 3/49 schools (6%) — avg 6.7 faculty (5.6% of total)</t>
        </is>
      </c>
    </row>
    <row r="25" ht="15" customHeight="1" s="91">
      <c r="A25" s="90" t="inlineStr">
        <is>
          <t xml:space="preserve">  Real Estate: 1/49 schools (2%) — avg 10.0 faculty (4.1% of total)</t>
        </is>
      </c>
    </row>
    <row r="26" ht="15" customHeight="1" s="91">
      <c r="A26" s="90" t="inlineStr">
        <is>
          <t xml:space="preserve">  Communication: 1/49 schools (2%) — avg 5.0 faculty (5.6% of total)</t>
        </is>
      </c>
    </row>
    <row r="28" ht="15" customHeight="1" s="91">
      <c r="A28" s="90" t="inlineStr">
        <is>
          <t>URL COLUMNS:</t>
        </is>
      </c>
    </row>
    <row r="29" ht="15" customHeight="1" s="91">
      <c r="A29" s="90" t="inlineStr">
        <is>
          <t xml:space="preserve">  Faculty Directory URL: The official faculty directory page from which appointment data was scraped</t>
        </is>
      </c>
    </row>
    <row r="30" ht="15" customHeight="1" s="91">
      <c r="A30" s="90" t="inlineStr">
        <is>
          <t xml:space="preserve">  Department Page URL: The school's departmental listing / academic areas page</t>
        </is>
      </c>
    </row>
    <row r="32" ht="15" customHeight="1" s="91">
      <c r="A32" s="90" t="inlineStr">
        <is>
          <t>METHODOLOGY:</t>
        </is>
      </c>
    </row>
    <row r="33" ht="15" customHeight="1" s="91">
      <c r="A33" s="90" t="inlineStr">
        <is>
          <t xml:space="preserve">  - Tenure-track = Professor + Associate Professor + Assistant Professor (incl. named/endowed chairs)</t>
        </is>
      </c>
    </row>
    <row r="34" ht="15" customHeight="1" s="91">
      <c r="A34" s="90" t="inlineStr">
        <is>
          <t xml:space="preserve">  - Excluded: Clinical, Adjunct, Visiting, Lecturer, Emeritus, Research Professor,</t>
        </is>
      </c>
    </row>
    <row r="35" ht="15" customHeight="1" s="91">
      <c r="A35" s="90" t="inlineStr">
        <is>
          <t xml:space="preserve">    Professor of Practice, Senior Lecturer, Teaching Professor, Instructor, Executive in Residence</t>
        </is>
      </c>
    </row>
    <row r="36" ht="15" customHeight="1" s="91">
      <c r="A36" s="90" t="inlineStr">
        <is>
          <t xml:space="preserve">  - Data source: Official school faculty directories, scraped March 2026</t>
        </is>
      </c>
    </row>
    <row r="37" ht="15" customHeight="1" s="91">
      <c r="A37" s="90" t="inlineStr">
        <is>
          <t xml:space="preserve">  - Department names normalized to 14 standard categories for cross-school comparison</t>
        </is>
      </c>
    </row>
    <row r="38" ht="15" customHeight="1" s="91">
      <c r="A38" s="90" t="inlineStr">
        <is>
          <t xml:space="preserve">  - All counts are actual headcounts from directory scraping, not estimates</t>
        </is>
      </c>
    </row>
    <row r="39" ht="15" customHeight="1" s="91">
      <c r="A39" s="90" t="inlineStr">
        <is>
          <t xml:space="preserve">  - Note: Pittsburgh Katz dept breakdown estimated (titles say 'Professor of Business Administration')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4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5" customWidth="1" style="90" min="1" max="1"/>
    <col width="45" customWidth="1" style="90" min="2" max="2"/>
    <col width="12" customWidth="1" style="90" min="3" max="4"/>
    <col width="8" customWidth="1" style="90" min="5" max="5"/>
    <col width="22" customWidth="1" style="90" min="6" max="6"/>
    <col width="60" customWidth="1" style="90" min="7" max="7"/>
  </cols>
  <sheetData>
    <row r="1" ht="19.5" customHeight="1" s="91">
      <c r="A1" s="137" t="inlineStr">
        <is>
          <t>Changelog: v12 → v13</t>
        </is>
      </c>
    </row>
    <row r="2" ht="15" customHeight="1" s="91">
      <c r="A2" s="138" t="inlineStr">
        <is>
          <t>Reconciliation of BSchool_Faculty_Analysis_v2 verification data into Top50_BSchools spreadsheet</t>
        </is>
      </c>
    </row>
    <row r="4" ht="15" customHeight="1" s="91">
      <c r="A4" s="141" t="inlineStr">
        <is>
          <t>Summary of Changes</t>
        </is>
      </c>
    </row>
    <row r="5" ht="15" customHeight="1" s="91">
      <c r="A5" s="139" t="inlineStr">
        <is>
          <t>Faculty counts updated</t>
        </is>
      </c>
      <c r="B5" s="140" t="n">
        <v>207</v>
      </c>
    </row>
    <row r="6" ht="15" customHeight="1" s="91">
      <c r="A6" s="139" t="inlineStr">
        <is>
          <t>School totals updated</t>
        </is>
      </c>
      <c r="B6" s="140" t="n">
        <v>31</v>
      </c>
    </row>
    <row r="7" ht="15" customHeight="1" s="91">
      <c r="A7" s="139" t="inlineStr">
        <is>
          <t>_DeptLookup entries updated</t>
        </is>
      </c>
      <c r="B7" s="140" t="n">
        <v>190</v>
      </c>
    </row>
    <row r="8" ht="15" customHeight="1" s="91">
      <c r="A8" s="139" t="inlineStr">
        <is>
          <t>Departments matched</t>
        </is>
      </c>
      <c r="B8" s="140" t="n">
        <v>242</v>
      </c>
    </row>
    <row r="9" ht="15" customHeight="1" s="91">
      <c r="A9" s="139" t="inlineStr">
        <is>
          <t>Unmatched departments (uploaded file)</t>
        </is>
      </c>
      <c r="B9" s="140" t="n">
        <v>101</v>
      </c>
    </row>
    <row r="10" ht="15" customHeight="1" s="91">
      <c r="A10" s="139" t="inlineStr">
        <is>
          <t>New sheets added</t>
        </is>
      </c>
      <c r="B10" s="140" t="inlineStr">
        <is>
          <t>8. Verification Summary, 9. Key Findings</t>
        </is>
      </c>
    </row>
    <row r="12" ht="15" customHeight="1" s="91">
      <c r="A12" s="141" t="inlineStr">
        <is>
          <t>Detailed Faculty Count Changes</t>
        </is>
      </c>
    </row>
    <row r="13" ht="15" customHeight="1" s="91">
      <c r="A13" s="142" t="inlineStr">
        <is>
          <t>School</t>
        </is>
      </c>
      <c r="B13" s="142" t="inlineStr">
        <is>
          <t>Department</t>
        </is>
      </c>
      <c r="C13" s="142" t="inlineStr">
        <is>
          <t>Old Count</t>
        </is>
      </c>
      <c r="D13" s="142" t="inlineStr">
        <is>
          <t>New Count</t>
        </is>
      </c>
      <c r="E13" s="142" t="inlineStr">
        <is>
          <t>Diff</t>
        </is>
      </c>
      <c r="F13" s="142" t="inlineStr">
        <is>
          <t>Verification Status</t>
        </is>
      </c>
      <c r="G13" s="142" t="inlineStr">
        <is>
          <t>Notes</t>
        </is>
      </c>
    </row>
    <row r="14" ht="15" customHeight="1" s="91">
      <c r="A14" s="140" t="inlineStr">
        <is>
          <t>BU Questrom</t>
        </is>
      </c>
      <c r="B14" s="140" t="inlineStr">
        <is>
          <t>Accounting</t>
        </is>
      </c>
      <c r="C14" s="143" t="n">
        <v>9</v>
      </c>
      <c r="D14" s="143" t="n">
        <v>11</v>
      </c>
      <c r="E14" s="169" t="n">
        <v>2</v>
      </c>
      <c r="F14" s="140" t="inlineStr">
        <is>
          <t>Close (±1-2)</t>
        </is>
      </c>
      <c r="G14" s="140" t="inlineStr">
        <is>
          <t>File: 9, Verified: 11 (diff: +2)</t>
        </is>
      </c>
    </row>
    <row r="15" ht="15" customHeight="1" s="91">
      <c r="A15" s="145" t="inlineStr">
        <is>
          <t>BU Questrom</t>
        </is>
      </c>
      <c r="B15" s="145" t="inlineStr">
        <is>
          <t>Finance</t>
        </is>
      </c>
      <c r="C15" s="144" t="n">
        <v>12</v>
      </c>
      <c r="D15" s="144" t="n">
        <v>17</v>
      </c>
      <c r="E15" s="170" t="n">
        <v>5</v>
      </c>
      <c r="F15" s="145" t="inlineStr">
        <is>
          <t>Discrepancy</t>
        </is>
      </c>
      <c r="G15" s="145" t="inlineStr">
        <is>
          <t>File: 13, Verified: 17 (diff: +4). Exact match</t>
        </is>
      </c>
    </row>
    <row r="16" ht="15" customHeight="1" s="91">
      <c r="A16" s="140" t="inlineStr">
        <is>
          <t>BU Questrom</t>
        </is>
      </c>
      <c r="B16" s="140" t="inlineStr">
        <is>
          <t>Information Systems</t>
        </is>
      </c>
      <c r="C16" s="143" t="n">
        <v>9</v>
      </c>
      <c r="D16" s="143" t="n">
        <v>15</v>
      </c>
      <c r="E16" s="169" t="n">
        <v>6</v>
      </c>
      <c r="F16" s="140" t="inlineStr">
        <is>
          <t>Discrepancy</t>
        </is>
      </c>
      <c r="G16" s="140" t="inlineStr">
        <is>
          <t>File: 12, Verified: 15 (diff: +3). Exact match</t>
        </is>
      </c>
    </row>
    <row r="17" ht="15" customHeight="1" s="91">
      <c r="A17" s="145" t="inlineStr">
        <is>
          <t>BU Questrom</t>
        </is>
      </c>
      <c r="B17" s="145" t="inlineStr">
        <is>
          <t>Management &amp; Organizations</t>
        </is>
      </c>
      <c r="C17" s="144" t="n">
        <v>10</v>
      </c>
      <c r="D17" s="144" t="n">
        <v>11</v>
      </c>
      <c r="E17" s="170" t="n">
        <v>1</v>
      </c>
      <c r="F17" s="145" t="inlineStr">
        <is>
          <t>Confirmed</t>
        </is>
      </c>
      <c r="G17" s="145" t="inlineStr">
        <is>
          <t>Exact match with verified count</t>
        </is>
      </c>
    </row>
    <row r="18" ht="15" customHeight="1" s="91">
      <c r="A18" s="140" t="inlineStr">
        <is>
          <t>BU Questrom</t>
        </is>
      </c>
      <c r="B18" s="140" t="inlineStr">
        <is>
          <t>Marketing</t>
        </is>
      </c>
      <c r="C18" s="143" t="n">
        <v>9</v>
      </c>
      <c r="D18" s="143" t="n">
        <v>17</v>
      </c>
      <c r="E18" s="169" t="n">
        <v>8</v>
      </c>
      <c r="F18" s="140" t="inlineStr">
        <is>
          <t>Discrepancy</t>
        </is>
      </c>
      <c r="G18" s="140" t="inlineStr">
        <is>
          <t>File: 14, Verified: 17 (diff: +3). Exact match</t>
        </is>
      </c>
    </row>
    <row r="19" ht="15" customHeight="1" s="91">
      <c r="A19" s="145" t="inlineStr">
        <is>
          <t>BU Questrom</t>
        </is>
      </c>
      <c r="B19" s="145" t="inlineStr">
        <is>
          <t>Markets, Public Policy, and Law</t>
        </is>
      </c>
      <c r="C19" s="144" t="n">
        <v>9</v>
      </c>
      <c r="D19" s="144" t="n">
        <v>12</v>
      </c>
      <c r="E19" s="170" t="n">
        <v>3</v>
      </c>
      <c r="F19" s="145" t="inlineStr">
        <is>
          <t>Close (±1-2)</t>
        </is>
      </c>
      <c r="G19" s="145" t="inlineStr">
        <is>
          <t>File: 10, Verified: 12 (under by 2). DISCREPANCY: Claimed 10, verified 12 TT. TT faculty: Sarah Armi</t>
        </is>
      </c>
    </row>
    <row r="20" ht="15" customHeight="1" s="91">
      <c r="A20" s="140" t="inlineStr">
        <is>
          <t>BU Questrom</t>
        </is>
      </c>
      <c r="B20" s="140" t="inlineStr">
        <is>
          <t>Operations and Technology Management</t>
        </is>
      </c>
      <c r="C20" s="143" t="n">
        <v>9</v>
      </c>
      <c r="D20" s="143" t="n">
        <v>7</v>
      </c>
      <c r="E20" s="171" t="n">
        <v>-2</v>
      </c>
      <c r="F20" s="140" t="inlineStr">
        <is>
          <t>Close (±1-2)</t>
        </is>
      </c>
      <c r="G20" s="140" t="inlineStr">
        <is>
          <t>File: 6, Verified: 7 (under by 1). DISCREPANCY: Claimed 6, verified 7 TT. TT faculty: Anita Carson (</t>
        </is>
      </c>
    </row>
    <row r="21" ht="15" customHeight="1" s="91">
      <c r="A21" s="145" t="inlineStr">
        <is>
          <t>BU Questrom</t>
        </is>
      </c>
      <c r="B21" s="145" t="inlineStr">
        <is>
          <t>Public Policy &amp; Law</t>
        </is>
      </c>
      <c r="C21" s="144" t="n">
        <v>9</v>
      </c>
      <c r="D21" s="144" t="inlineStr">
        <is>
          <t>N/A</t>
        </is>
      </c>
      <c r="E21" s="172" t="n">
        <v>0</v>
      </c>
      <c r="F21" s="145" t="inlineStr">
        <is>
          <t>Flag</t>
        </is>
      </c>
      <c r="G21" s="145" t="inlineStr">
        <is>
          <t>FLAG: This appears to be a duplicate/overlap with 'Markets, Public Policy, and Law' above. BU Questr</t>
        </is>
      </c>
    </row>
    <row r="22" ht="15" customHeight="1" s="91">
      <c r="A22" s="140" t="inlineStr">
        <is>
          <t>BU Questrom</t>
        </is>
      </c>
      <c r="B22" s="140" t="inlineStr">
        <is>
          <t>Strategy and Innovation</t>
        </is>
      </c>
      <c r="C22" s="143" t="n">
        <v>9</v>
      </c>
      <c r="D22" s="143" t="n">
        <v>11</v>
      </c>
      <c r="E22" s="169" t="n">
        <v>2</v>
      </c>
      <c r="F22" s="140" t="inlineStr">
        <is>
          <t>Discrepancy</t>
        </is>
      </c>
      <c r="G22" s="140" t="inlineStr">
        <is>
          <t>File: 8, Verified: 11 (under by 3). DISCREPANCY: Claimed 8, verified 11 TT. TT faculty: Luis Ballest</t>
        </is>
      </c>
    </row>
    <row r="23" ht="15" customHeight="1" s="91">
      <c r="A23" s="145" t="inlineStr">
        <is>
          <t>BYU Marriott</t>
        </is>
      </c>
      <c r="B23" s="145" t="inlineStr">
        <is>
          <t>Finance</t>
        </is>
      </c>
      <c r="C23" s="144" t="n">
        <v>9</v>
      </c>
      <c r="D23" s="144" t="n">
        <v>21</v>
      </c>
      <c r="E23" s="170" t="n">
        <v>12</v>
      </c>
      <c r="F23" s="145" t="inlineStr">
        <is>
          <t>Close (±1-2)</t>
        </is>
      </c>
      <c r="G23" s="145" t="inlineStr">
        <is>
          <t>File: 20, Verified: 21 (under by 1). 21 TT faculty: Aiello, Argyle, Boyer, Brau J, Carpenter, Diethe</t>
        </is>
      </c>
    </row>
    <row r="24" ht="15" customHeight="1" s="91">
      <c r="A24" s="140" t="inlineStr">
        <is>
          <t>BYU Marriott</t>
        </is>
      </c>
      <c r="B24" s="140" t="inlineStr">
        <is>
          <t>Information Systems</t>
        </is>
      </c>
      <c r="C24" s="143" t="n">
        <v>7</v>
      </c>
      <c r="D24" s="143" t="n">
        <v>15</v>
      </c>
      <c r="E24" s="169" t="n">
        <v>8</v>
      </c>
      <c r="F24" s="140" t="inlineStr">
        <is>
          <t>Confirmed</t>
        </is>
      </c>
      <c r="G24" s="140" t="inlineStr">
        <is>
          <t>Exact match. 15 TT faculty: Anderson B, Anderson G, Gaskin, Giboney, Jenkins, Keith, Liddle, Meservy</t>
        </is>
      </c>
    </row>
    <row r="25" ht="15" customHeight="1" s="91">
      <c r="A25" s="145" t="inlineStr">
        <is>
          <t>BYU Marriott</t>
        </is>
      </c>
      <c r="B25" s="145" t="inlineStr">
        <is>
          <t>Management</t>
        </is>
      </c>
      <c r="C25" s="144" t="n">
        <v>8</v>
      </c>
      <c r="D25" s="144" t="n">
        <v>27</v>
      </c>
      <c r="E25" s="170" t="n">
        <v>19</v>
      </c>
      <c r="F25" s="145" t="inlineStr">
        <is>
          <t>Close (±1-2)</t>
        </is>
      </c>
      <c r="G25" s="145" t="inlineStr">
        <is>
          <t>File: 26, Verified: 27 (under by 1). 27 TT faculty: Allen R, Bednar J, Benson, Bingham, Bryce, Carlo</t>
        </is>
      </c>
    </row>
    <row r="26" ht="15" customHeight="1" s="91">
      <c r="A26" s="140" t="inlineStr">
        <is>
          <t>BYU Marriott</t>
        </is>
      </c>
      <c r="B26" s="140" t="inlineStr">
        <is>
          <t>Marketing and Global Supply Chain</t>
        </is>
      </c>
      <c r="C26" s="143" t="n">
        <v>8</v>
      </c>
      <c r="D26" s="143" t="n">
        <v>20</v>
      </c>
      <c r="E26" s="169" t="n">
        <v>12</v>
      </c>
      <c r="F26" s="140" t="inlineStr">
        <is>
          <t>Close (±1-2)</t>
        </is>
      </c>
      <c r="G26" s="140" t="inlineStr">
        <is>
          <t>File: 21, Verified: 20 (over by 1). 20 TT faculty: Allen BJ, Bale C, Bale M, Billeter, Blair, Brau B</t>
        </is>
      </c>
    </row>
    <row r="27" ht="15" customHeight="1" s="91">
      <c r="A27" s="145" t="inlineStr">
        <is>
          <t>BYU Marriott</t>
        </is>
      </c>
      <c r="B27" s="145" t="inlineStr">
        <is>
          <t>School of Accountancy</t>
        </is>
      </c>
      <c r="C27" s="144" t="n">
        <v>7</v>
      </c>
      <c r="D27" s="144" t="n">
        <v>23</v>
      </c>
      <c r="E27" s="170" t="n">
        <v>16</v>
      </c>
      <c r="F27" s="145" t="inlineStr">
        <is>
          <t>Close (±1-2)</t>
        </is>
      </c>
      <c r="G27" s="145" t="inlineStr">
        <is>
          <t>File: 22, Verified: 23 (under by 1). 23 TT faculty: Allen A, Barrick, Donahoo, Drake, Dyer T, Fox Z,</t>
        </is>
      </c>
    </row>
    <row r="28" ht="15" customHeight="1" s="91">
      <c r="A28" s="140" t="inlineStr">
        <is>
          <t>Berkeley Haas</t>
        </is>
      </c>
      <c r="B28" s="140" t="inlineStr">
        <is>
          <t>Accounting</t>
        </is>
      </c>
      <c r="C28" s="143" t="n">
        <v>13</v>
      </c>
      <c r="D28" s="143" t="n">
        <v>9</v>
      </c>
      <c r="E28" s="171" t="n">
        <v>-4</v>
      </c>
      <c r="F28" s="140" t="inlineStr">
        <is>
          <t>Confirmed</t>
        </is>
      </c>
      <c r="G28" s="140" t="inlineStr">
        <is>
          <t>Exact match with verified count</t>
        </is>
      </c>
    </row>
    <row r="29" ht="15" customHeight="1" s="91">
      <c r="A29" s="145" t="inlineStr">
        <is>
          <t>Berkeley Haas</t>
        </is>
      </c>
      <c r="B29" s="145" t="inlineStr">
        <is>
          <t>Business &amp; Public Policy</t>
        </is>
      </c>
      <c r="C29" s="144" t="n">
        <v>13</v>
      </c>
      <c r="D29" s="144" t="n">
        <v>12</v>
      </c>
      <c r="E29" s="172" t="n">
        <v>-1</v>
      </c>
      <c r="F29" s="145" t="inlineStr">
        <is>
          <t>Close (±1-2)</t>
        </is>
      </c>
      <c r="G29" s="145" t="inlineStr">
        <is>
          <t>File: 13, Verified: 12 (diff: -1)</t>
        </is>
      </c>
    </row>
    <row r="30" ht="15" customHeight="1" s="91">
      <c r="A30" s="140" t="inlineStr">
        <is>
          <t>Berkeley Haas</t>
        </is>
      </c>
      <c r="B30" s="140" t="inlineStr">
        <is>
          <t>Finance</t>
        </is>
      </c>
      <c r="C30" s="143" t="n">
        <v>16</v>
      </c>
      <c r="D30" s="143" t="n">
        <v>12</v>
      </c>
      <c r="E30" s="171" t="n">
        <v>-4</v>
      </c>
      <c r="F30" s="140" t="inlineStr">
        <is>
          <t>Confirmed</t>
        </is>
      </c>
      <c r="G30" s="140" t="inlineStr">
        <is>
          <t>Exact match with verified count</t>
        </is>
      </c>
    </row>
    <row r="31" ht="15" customHeight="1" s="91">
      <c r="A31" s="145" t="inlineStr">
        <is>
          <t>Berkeley Haas</t>
        </is>
      </c>
      <c r="B31" s="145" t="inlineStr">
        <is>
          <t>Management of Organizations</t>
        </is>
      </c>
      <c r="C31" s="144" t="n">
        <v>14</v>
      </c>
      <c r="D31" s="144" t="n">
        <v>11</v>
      </c>
      <c r="E31" s="172" t="n">
        <v>-3</v>
      </c>
      <c r="F31" s="145" t="inlineStr">
        <is>
          <t>Confirmed</t>
        </is>
      </c>
      <c r="G31" s="145" t="inlineStr">
        <is>
          <t>Exact match with verified count</t>
        </is>
      </c>
    </row>
    <row r="32" ht="15" customHeight="1" s="91">
      <c r="A32" s="140" t="inlineStr">
        <is>
          <t>Berkeley Haas</t>
        </is>
      </c>
      <c r="B32" s="140" t="inlineStr">
        <is>
          <t>Marketing</t>
        </is>
      </c>
      <c r="C32" s="143" t="n">
        <v>15</v>
      </c>
      <c r="D32" s="143" t="n">
        <v>13</v>
      </c>
      <c r="E32" s="171" t="n">
        <v>-2</v>
      </c>
      <c r="F32" s="140" t="inlineStr">
        <is>
          <t>Close (±1-2)</t>
        </is>
      </c>
      <c r="G32" s="140" t="inlineStr">
        <is>
          <t>File: 12, Verified: 13 (diff: +1)</t>
        </is>
      </c>
    </row>
    <row r="33" ht="15" customHeight="1" s="91">
      <c r="A33" s="145" t="inlineStr">
        <is>
          <t>CMU Tepper</t>
        </is>
      </c>
      <c r="B33" s="145" t="inlineStr">
        <is>
          <t>Accounting</t>
        </is>
      </c>
      <c r="C33" s="144" t="n">
        <v>6</v>
      </c>
      <c r="D33" s="144" t="n">
        <v>5</v>
      </c>
      <c r="E33" s="172" t="n">
        <v>-1</v>
      </c>
      <c r="F33" s="145" t="inlineStr">
        <is>
          <t>Confirmed</t>
        </is>
      </c>
      <c r="G33" s="145" t="inlineStr">
        <is>
          <t>Exact match with verified count</t>
        </is>
      </c>
    </row>
    <row r="34" ht="15" customHeight="1" s="91">
      <c r="A34" s="140" t="inlineStr">
        <is>
          <t>CMU Tepper</t>
        </is>
      </c>
      <c r="B34" s="140" t="inlineStr">
        <is>
          <t>Economics</t>
        </is>
      </c>
      <c r="C34" s="143" t="n">
        <v>7</v>
      </c>
      <c r="D34" s="143" t="n">
        <v>21</v>
      </c>
      <c r="E34" s="169" t="n">
        <v>14</v>
      </c>
      <c r="F34" s="140" t="inlineStr">
        <is>
          <t>Confirmed</t>
        </is>
      </c>
      <c r="G34" s="140" t="inlineStr">
        <is>
          <t>Exact match with verified count</t>
        </is>
      </c>
    </row>
    <row r="35" ht="15" customHeight="1" s="91">
      <c r="A35" s="145" t="inlineStr">
        <is>
          <t>CMU Tepper</t>
        </is>
      </c>
      <c r="B35" s="145" t="inlineStr">
        <is>
          <t>Finance</t>
        </is>
      </c>
      <c r="C35" s="144" t="n">
        <v>8</v>
      </c>
      <c r="D35" s="144" t="n">
        <v>12</v>
      </c>
      <c r="E35" s="170" t="n">
        <v>4</v>
      </c>
      <c r="F35" s="145" t="inlineStr">
        <is>
          <t>Confirmed</t>
        </is>
      </c>
      <c r="G35" s="145" t="inlineStr">
        <is>
          <t>Exact match with verified count</t>
        </is>
      </c>
    </row>
    <row r="36" ht="15" customHeight="1" s="91">
      <c r="A36" s="140" t="inlineStr">
        <is>
          <t>CMU Tepper</t>
        </is>
      </c>
      <c r="B36" s="140" t="inlineStr">
        <is>
          <t>Marketing</t>
        </is>
      </c>
      <c r="C36" s="143" t="n">
        <v>7</v>
      </c>
      <c r="D36" s="143" t="n">
        <v>8</v>
      </c>
      <c r="E36" s="169" t="n">
        <v>1</v>
      </c>
      <c r="F36" s="140" t="inlineStr">
        <is>
          <t>Confirmed</t>
        </is>
      </c>
      <c r="G36" s="140" t="inlineStr">
        <is>
          <t>Exact match with verified count</t>
        </is>
      </c>
    </row>
    <row r="37" ht="15" customHeight="1" s="91">
      <c r="A37" s="145" t="inlineStr">
        <is>
          <t>CMU Tepper</t>
        </is>
      </c>
      <c r="B37" s="145" t="inlineStr">
        <is>
          <t>Operations Management</t>
        </is>
      </c>
      <c r="C37" s="144" t="n">
        <v>7</v>
      </c>
      <c r="D37" s="144" t="n">
        <v>10</v>
      </c>
      <c r="E37" s="170" t="n">
        <v>3</v>
      </c>
      <c r="F37" s="145" t="inlineStr">
        <is>
          <t>Confirmed</t>
        </is>
      </c>
      <c r="G37" s="145" t="inlineStr">
        <is>
          <t>Exact match with verified count</t>
        </is>
      </c>
    </row>
    <row r="38" ht="15" customHeight="1" s="91">
      <c r="A38" s="140" t="inlineStr">
        <is>
          <t>CMU Tepper</t>
        </is>
      </c>
      <c r="B38" s="140" t="inlineStr">
        <is>
          <t>Operations Research</t>
        </is>
      </c>
      <c r="C38" s="143" t="n">
        <v>5</v>
      </c>
      <c r="D38" s="143" t="n">
        <v>10</v>
      </c>
      <c r="E38" s="169" t="n">
        <v>5</v>
      </c>
      <c r="F38" s="140" t="inlineStr">
        <is>
          <t>Confirmed</t>
        </is>
      </c>
      <c r="G38" s="140" t="inlineStr">
        <is>
          <t>Exact match with verified count</t>
        </is>
      </c>
    </row>
    <row r="39" ht="15" customHeight="1" s="91">
      <c r="A39" s="145" t="inlineStr">
        <is>
          <t>Chicago Booth</t>
        </is>
      </c>
      <c r="B39" s="145" t="inlineStr">
        <is>
          <t>Finance</t>
        </is>
      </c>
      <c r="C39" s="144" t="n">
        <v>25</v>
      </c>
      <c r="D39" s="144" t="n">
        <v>28</v>
      </c>
      <c r="E39" s="170" t="n">
        <v>3</v>
      </c>
      <c r="F39" s="145" t="inlineStr">
        <is>
          <t>Discrepancy</t>
        </is>
      </c>
      <c r="G39" s="145" t="inlineStr">
        <is>
          <t>File: 25, Verified: 28 (diff: +3). 28 found; +3 from joint appointments (Sufi, Hansen, Zwick)</t>
        </is>
      </c>
    </row>
    <row r="40" ht="15" customHeight="1" s="91">
      <c r="A40" s="140" t="inlineStr">
        <is>
          <t>Chicago Booth</t>
        </is>
      </c>
      <c r="B40" s="140" t="inlineStr">
        <is>
          <t>Macroeconomics</t>
        </is>
      </c>
      <c r="C40" s="143" t="n">
        <v>12</v>
      </c>
      <c r="D40" s="143" t="n">
        <v>14</v>
      </c>
      <c r="E40" s="169" t="n">
        <v>2</v>
      </c>
      <c r="F40" s="140" t="inlineStr">
        <is>
          <t>Close (±1-2)</t>
        </is>
      </c>
      <c r="G40" s="140" t="inlineStr">
        <is>
          <t>File: 12, Verified: 14 (diff: +2)</t>
        </is>
      </c>
    </row>
    <row r="41" ht="15" customHeight="1" s="91">
      <c r="A41" s="145" t="inlineStr">
        <is>
          <t>Chicago Booth</t>
        </is>
      </c>
      <c r="B41" s="145" t="inlineStr">
        <is>
          <t>Microeconomics</t>
        </is>
      </c>
      <c r="C41" s="144" t="n">
        <v>20</v>
      </c>
      <c r="D41" s="144" t="n">
        <v>22</v>
      </c>
      <c r="E41" s="170" t="n">
        <v>2</v>
      </c>
      <c r="F41" s="145" t="inlineStr">
        <is>
          <t>Close (±1-2)</t>
        </is>
      </c>
      <c r="G41" s="145" t="inlineStr">
        <is>
          <t>File: 20, Verified: 22 (diff: +2)</t>
        </is>
      </c>
    </row>
    <row r="42" ht="15" customHeight="1" s="91">
      <c r="A42" s="140" t="inlineStr">
        <is>
          <t>Dartmouth Tuck</t>
        </is>
      </c>
      <c r="B42" s="140" t="inlineStr">
        <is>
          <t>Accounting</t>
        </is>
      </c>
      <c r="C42" s="143" t="n">
        <v>5</v>
      </c>
      <c r="D42" s="143" t="n">
        <v>6</v>
      </c>
      <c r="E42" s="169" t="n">
        <v>1</v>
      </c>
      <c r="F42" s="140" t="inlineStr">
        <is>
          <t>Close (±1-2)</t>
        </is>
      </c>
      <c r="G42" s="140" t="inlineStr">
        <is>
          <t>File: 7, Verified: 6 (diff: -1)</t>
        </is>
      </c>
    </row>
    <row r="43" ht="15" customHeight="1" s="91">
      <c r="A43" s="145" t="inlineStr">
        <is>
          <t>Dartmouth Tuck</t>
        </is>
      </c>
      <c r="B43" s="145" t="inlineStr">
        <is>
          <t>Economics</t>
        </is>
      </c>
      <c r="C43" s="144" t="n">
        <v>5</v>
      </c>
      <c r="D43" s="144" t="n">
        <v>8</v>
      </c>
      <c r="E43" s="170" t="n">
        <v>3</v>
      </c>
      <c r="F43" s="145" t="inlineStr">
        <is>
          <t>Confirmed</t>
        </is>
      </c>
      <c r="G43" s="145" t="inlineStr">
        <is>
          <t>Exact match with verified count</t>
        </is>
      </c>
    </row>
    <row r="44" ht="15" customHeight="1" s="91">
      <c r="A44" s="140" t="inlineStr">
        <is>
          <t>Dartmouth Tuck</t>
        </is>
      </c>
      <c r="B44" s="140" t="inlineStr">
        <is>
          <t>Finance</t>
        </is>
      </c>
      <c r="C44" s="143" t="n">
        <v>5</v>
      </c>
      <c r="D44" s="143" t="n">
        <v>9</v>
      </c>
      <c r="E44" s="169" t="n">
        <v>4</v>
      </c>
      <c r="F44" s="140" t="inlineStr">
        <is>
          <t>Confirmed</t>
        </is>
      </c>
      <c r="G44" s="140" t="inlineStr">
        <is>
          <t>Exact match with verified count</t>
        </is>
      </c>
    </row>
    <row r="45" ht="15" customHeight="1" s="91">
      <c r="A45" s="145" t="inlineStr">
        <is>
          <t>Dartmouth Tuck</t>
        </is>
      </c>
      <c r="B45" s="145" t="inlineStr">
        <is>
          <t>Marketing</t>
        </is>
      </c>
      <c r="C45" s="144" t="n">
        <v>5</v>
      </c>
      <c r="D45" s="144" t="n">
        <v>10</v>
      </c>
      <c r="E45" s="170" t="n">
        <v>5</v>
      </c>
      <c r="F45" s="145" t="inlineStr">
        <is>
          <t>Confirmed</t>
        </is>
      </c>
      <c r="G45" s="145" t="inlineStr">
        <is>
          <t>Exact match with verified count</t>
        </is>
      </c>
    </row>
    <row r="46" ht="15" customHeight="1" s="91">
      <c r="A46" s="140" t="inlineStr">
        <is>
          <t>Dartmouth Tuck</t>
        </is>
      </c>
      <c r="B46" s="140" t="inlineStr">
        <is>
          <t>Organizational Behavior</t>
        </is>
      </c>
      <c r="C46" s="143" t="n">
        <v>5</v>
      </c>
      <c r="D46" s="143" t="n">
        <v>7</v>
      </c>
      <c r="E46" s="169" t="n">
        <v>2</v>
      </c>
      <c r="F46" s="140" t="inlineStr">
        <is>
          <t>Close (±1-2)</t>
        </is>
      </c>
      <c r="G46" s="140" t="inlineStr">
        <is>
          <t>File: 8, Verified: 7 (diff: -1)</t>
        </is>
      </c>
    </row>
    <row r="47" ht="15" customHeight="1" s="91">
      <c r="A47" s="145" t="inlineStr">
        <is>
          <t>Duke Fuqua</t>
        </is>
      </c>
      <c r="B47" s="145" t="inlineStr">
        <is>
          <t>Accounting</t>
        </is>
      </c>
      <c r="C47" s="144" t="n">
        <v>5</v>
      </c>
      <c r="D47" s="144" t="n">
        <v>13</v>
      </c>
      <c r="E47" s="170" t="n">
        <v>8</v>
      </c>
      <c r="F47" s="145" t="inlineStr">
        <is>
          <t>Close (±1-2)</t>
        </is>
      </c>
      <c r="G47" s="145" t="inlineStr">
        <is>
          <t>File: 12, Verified: 13 (diff: +1)</t>
        </is>
      </c>
    </row>
    <row r="48" ht="15" customHeight="1" s="91">
      <c r="A48" s="140" t="inlineStr">
        <is>
          <t>Duke Fuqua</t>
        </is>
      </c>
      <c r="B48" s="140" t="inlineStr">
        <is>
          <t>Decision Sciences</t>
        </is>
      </c>
      <c r="C48" s="143" t="n">
        <v>5</v>
      </c>
      <c r="D48" s="143" t="n">
        <v>13</v>
      </c>
      <c r="E48" s="169" t="n">
        <v>8</v>
      </c>
      <c r="F48" s="140" t="inlineStr">
        <is>
          <t>Close (±1-2)</t>
        </is>
      </c>
      <c r="G48" s="140" t="inlineStr">
        <is>
          <t>File: 11, Verified: 13 (diff: +2)</t>
        </is>
      </c>
    </row>
    <row r="49" ht="15" customHeight="1" s="91">
      <c r="A49" s="145" t="inlineStr">
        <is>
          <t>Duke Fuqua</t>
        </is>
      </c>
      <c r="B49" s="145" t="inlineStr">
        <is>
          <t>Economics</t>
        </is>
      </c>
      <c r="C49" s="144" t="n">
        <v>6</v>
      </c>
      <c r="D49" s="144" t="n">
        <v>8</v>
      </c>
      <c r="E49" s="170" t="n">
        <v>2</v>
      </c>
      <c r="F49" s="145" t="inlineStr">
        <is>
          <t>Close (±1-2)</t>
        </is>
      </c>
      <c r="G49" s="145" t="inlineStr">
        <is>
          <t>File: 7, Verified: 8 (diff: +1)</t>
        </is>
      </c>
    </row>
    <row r="50" ht="15" customHeight="1" s="91">
      <c r="A50" s="140" t="inlineStr">
        <is>
          <t>Duke Fuqua</t>
        </is>
      </c>
      <c r="B50" s="140" t="inlineStr">
        <is>
          <t>Finance</t>
        </is>
      </c>
      <c r="C50" s="143" t="n">
        <v>7</v>
      </c>
      <c r="D50" s="143" t="n">
        <v>22</v>
      </c>
      <c r="E50" s="169" t="n">
        <v>15</v>
      </c>
      <c r="F50" s="140" t="inlineStr">
        <is>
          <t>Close (±1-2)</t>
        </is>
      </c>
      <c r="G50" s="140" t="inlineStr">
        <is>
          <t>File: 20, Verified: 22 (diff: +2)</t>
        </is>
      </c>
    </row>
    <row r="51" ht="15" customHeight="1" s="91">
      <c r="A51" s="145" t="inlineStr">
        <is>
          <t>Duke Fuqua</t>
        </is>
      </c>
      <c r="B51" s="145" t="inlineStr">
        <is>
          <t>Management and Organizations</t>
        </is>
      </c>
      <c r="C51" s="144" t="n">
        <v>6</v>
      </c>
      <c r="D51" s="144" t="n">
        <v>14</v>
      </c>
      <c r="E51" s="170" t="n">
        <v>8</v>
      </c>
      <c r="F51" s="145" t="inlineStr">
        <is>
          <t>Close (±1-2)</t>
        </is>
      </c>
      <c r="G51" s="145" t="inlineStr">
        <is>
          <t>File: 12, Verified: 14 (diff: +2)</t>
        </is>
      </c>
    </row>
    <row r="52" ht="15" customHeight="1" s="91">
      <c r="A52" s="140" t="inlineStr">
        <is>
          <t>Duke Fuqua</t>
        </is>
      </c>
      <c r="B52" s="140" t="inlineStr">
        <is>
          <t>Marketing</t>
        </is>
      </c>
      <c r="C52" s="143" t="n">
        <v>6</v>
      </c>
      <c r="D52" s="143" t="n">
        <v>16</v>
      </c>
      <c r="E52" s="169" t="n">
        <v>10</v>
      </c>
      <c r="F52" s="140" t="inlineStr">
        <is>
          <t>Close (±1-2)</t>
        </is>
      </c>
      <c r="G52" s="140" t="inlineStr">
        <is>
          <t>File: 17, Verified: 16 (diff: -1)</t>
        </is>
      </c>
    </row>
    <row r="53" ht="15" customHeight="1" s="91">
      <c r="A53" s="145" t="inlineStr">
        <is>
          <t>Duke Fuqua</t>
        </is>
      </c>
      <c r="B53" s="145" t="inlineStr">
        <is>
          <t>Strategy</t>
        </is>
      </c>
      <c r="C53" s="144" t="n">
        <v>6</v>
      </c>
      <c r="D53" s="144" t="n">
        <v>12</v>
      </c>
      <c r="E53" s="170" t="n">
        <v>6</v>
      </c>
      <c r="F53" s="145" t="inlineStr">
        <is>
          <t>Close (±1-2)</t>
        </is>
      </c>
      <c r="G53" s="145" t="inlineStr">
        <is>
          <t>File: 10, Verified: 12 (diff: +2)</t>
        </is>
      </c>
    </row>
    <row r="54" ht="15" customHeight="1" s="91">
      <c r="A54" s="140" t="inlineStr">
        <is>
          <t>Emory Goizueta</t>
        </is>
      </c>
      <c r="B54" s="140" t="inlineStr">
        <is>
          <t>Accounting</t>
        </is>
      </c>
      <c r="C54" s="143" t="n">
        <v>8</v>
      </c>
      <c r="D54" s="143" t="n">
        <v>10</v>
      </c>
      <c r="E54" s="169" t="n">
        <v>2</v>
      </c>
      <c r="F54" s="140" t="inlineStr">
        <is>
          <t>Close (±1-2)</t>
        </is>
      </c>
      <c r="G54" s="140" t="inlineStr">
        <is>
          <t>File: 9, Verified: 10 (diff: +1)</t>
        </is>
      </c>
    </row>
    <row r="55" ht="15" customHeight="1" s="91">
      <c r="A55" s="145" t="inlineStr">
        <is>
          <t>Emory Goizueta</t>
        </is>
      </c>
      <c r="B55" s="145" t="inlineStr">
        <is>
          <t>Finance</t>
        </is>
      </c>
      <c r="C55" s="144" t="n">
        <v>9</v>
      </c>
      <c r="D55" s="144" t="n">
        <v>12</v>
      </c>
      <c r="E55" s="170" t="n">
        <v>3</v>
      </c>
      <c r="F55" s="145" t="inlineStr">
        <is>
          <t>Discrepancy</t>
        </is>
      </c>
      <c r="G55" s="145" t="inlineStr">
        <is>
          <t>File: 8, Verified: 12 (diff: +4). 12 found; +4</t>
        </is>
      </c>
    </row>
    <row r="56" ht="15" customHeight="1" s="91">
      <c r="A56" s="140" t="inlineStr">
        <is>
          <t>Emory Goizueta</t>
        </is>
      </c>
      <c r="B56" s="140" t="inlineStr">
        <is>
          <t>Information Systems &amp; Operations Management</t>
        </is>
      </c>
      <c r="C56" s="143" t="n">
        <v>8</v>
      </c>
      <c r="D56" s="143" t="n">
        <v>22</v>
      </c>
      <c r="E56" s="169" t="n">
        <v>14</v>
      </c>
      <c r="F56" s="140" t="inlineStr">
        <is>
          <t>Discrepancy</t>
        </is>
      </c>
      <c r="G56" s="140" t="inlineStr">
        <is>
          <t>File: 11, Verified: 22 (diff: +11). 22 found; claimed 11 appears to significantly undercount</t>
        </is>
      </c>
    </row>
    <row r="57" ht="15" customHeight="1" s="91">
      <c r="A57" s="145" t="inlineStr">
        <is>
          <t>Emory Goizueta</t>
        </is>
      </c>
      <c r="B57" s="145" t="inlineStr">
        <is>
          <t>Marketing</t>
        </is>
      </c>
      <c r="C57" s="144" t="n">
        <v>8</v>
      </c>
      <c r="D57" s="144" t="n">
        <v>10</v>
      </c>
      <c r="E57" s="170" t="n">
        <v>2</v>
      </c>
      <c r="F57" s="145" t="inlineStr">
        <is>
          <t>Close (±1-2)</t>
        </is>
      </c>
      <c r="G57" s="145" t="inlineStr">
        <is>
          <t>File: 8, Verified: 10 (diff: +2)</t>
        </is>
      </c>
    </row>
    <row r="58" ht="15" customHeight="1" s="91">
      <c r="A58" s="140" t="inlineStr">
        <is>
          <t>Emory Goizueta</t>
        </is>
      </c>
      <c r="B58" s="140" t="inlineStr">
        <is>
          <t>Organization &amp; Management</t>
        </is>
      </c>
      <c r="C58" s="143" t="n">
        <v>8</v>
      </c>
      <c r="D58" s="143" t="n">
        <v>11</v>
      </c>
      <c r="E58" s="169" t="n">
        <v>3</v>
      </c>
      <c r="F58" s="140" t="inlineStr">
        <is>
          <t>Close (±1-2)</t>
        </is>
      </c>
      <c r="G58" s="140" t="inlineStr">
        <is>
          <t>File: 9, Verified: 11 (diff: +2)</t>
        </is>
      </c>
    </row>
    <row r="59" ht="15" customHeight="1" s="91">
      <c r="A59" s="145" t="inlineStr">
        <is>
          <t>GT Scheller</t>
        </is>
      </c>
      <c r="B59" s="145" t="inlineStr">
        <is>
          <t>Accounting</t>
        </is>
      </c>
      <c r="C59" s="144" t="n">
        <v>5</v>
      </c>
      <c r="D59" s="144" t="n">
        <v>10</v>
      </c>
      <c r="E59" s="170" t="n">
        <v>5</v>
      </c>
      <c r="F59" s="145" t="inlineStr">
        <is>
          <t>Close (±1-2)</t>
        </is>
      </c>
      <c r="G59" s="145" t="inlineStr">
        <is>
          <t>File: 9, Verified: 10 (diff: +1)</t>
        </is>
      </c>
    </row>
    <row r="60" ht="15" customHeight="1" s="91">
      <c r="A60" s="140" t="inlineStr">
        <is>
          <t>GT Scheller</t>
        </is>
      </c>
      <c r="B60" s="140" t="inlineStr">
        <is>
          <t>Finance</t>
        </is>
      </c>
      <c r="C60" s="143" t="n">
        <v>5</v>
      </c>
      <c r="D60" s="143" t="n">
        <v>13</v>
      </c>
      <c r="E60" s="169" t="n">
        <v>8</v>
      </c>
      <c r="F60" s="140" t="inlineStr">
        <is>
          <t>Discrepancy</t>
        </is>
      </c>
      <c r="G60" s="140" t="inlineStr">
        <is>
          <t>File: 10, Verified: 13 (diff: +3). 13 found; +3</t>
        </is>
      </c>
    </row>
    <row r="61" ht="15" customHeight="1" s="91">
      <c r="A61" s="145" t="inlineStr">
        <is>
          <t>GT Scheller</t>
        </is>
      </c>
      <c r="B61" s="145" t="inlineStr">
        <is>
          <t>Law and Ethics</t>
        </is>
      </c>
      <c r="C61" s="144" t="n">
        <v>5</v>
      </c>
      <c r="D61" s="144" t="n">
        <v>3</v>
      </c>
      <c r="E61" s="172" t="n">
        <v>-2</v>
      </c>
      <c r="F61" s="145" t="inlineStr">
        <is>
          <t>Confirmed</t>
        </is>
      </c>
      <c r="G61" s="145" t="inlineStr">
        <is>
          <t>Exact match with verified count</t>
        </is>
      </c>
    </row>
    <row r="62" ht="15" customHeight="1" s="91">
      <c r="A62" s="140" t="inlineStr">
        <is>
          <t>GT Scheller</t>
        </is>
      </c>
      <c r="B62" s="140" t="inlineStr">
        <is>
          <t>Marketing</t>
        </is>
      </c>
      <c r="C62" s="143" t="n">
        <v>5</v>
      </c>
      <c r="D62" s="143" t="n">
        <v>10</v>
      </c>
      <c r="E62" s="169" t="n">
        <v>5</v>
      </c>
      <c r="F62" s="140" t="inlineStr">
        <is>
          <t>Close (±1-2)</t>
        </is>
      </c>
      <c r="G62" s="140" t="inlineStr">
        <is>
          <t>File: 8, Verified: 10 (diff: +2)</t>
        </is>
      </c>
    </row>
    <row r="63" ht="15" customHeight="1" s="91">
      <c r="A63" s="145" t="inlineStr">
        <is>
          <t>GT Scheller</t>
        </is>
      </c>
      <c r="B63" s="145" t="inlineStr">
        <is>
          <t>Operations Management</t>
        </is>
      </c>
      <c r="C63" s="144" t="n">
        <v>5</v>
      </c>
      <c r="D63" s="144" t="n">
        <v>11</v>
      </c>
      <c r="E63" s="170" t="n">
        <v>6</v>
      </c>
      <c r="F63" s="145" t="inlineStr">
        <is>
          <t>Close (±1-2)</t>
        </is>
      </c>
      <c r="G63" s="145" t="inlineStr">
        <is>
          <t>File: 9, Verified: 11 (diff: +2)</t>
        </is>
      </c>
    </row>
    <row r="64" ht="15" customHeight="1" s="91">
      <c r="A64" s="140" t="inlineStr">
        <is>
          <t>GT Scheller</t>
        </is>
      </c>
      <c r="B64" s="140" t="inlineStr">
        <is>
          <t>Organizational Behavior</t>
        </is>
      </c>
      <c r="C64" s="143" t="n">
        <v>4</v>
      </c>
      <c r="D64" s="143" t="n">
        <v>9</v>
      </c>
      <c r="E64" s="169" t="n">
        <v>5</v>
      </c>
      <c r="F64" s="140" t="inlineStr">
        <is>
          <t>Discrepancy</t>
        </is>
      </c>
      <c r="G64" s="140" t="inlineStr">
        <is>
          <t>File: 5, Verified: 9 (diff: +4). 9 found; +4</t>
        </is>
      </c>
    </row>
    <row r="65" ht="15" customHeight="1" s="91">
      <c r="A65" s="145" t="inlineStr">
        <is>
          <t>GT Scheller</t>
        </is>
      </c>
      <c r="B65" s="145" t="inlineStr">
        <is>
          <t>Strategy and Innovation</t>
        </is>
      </c>
      <c r="C65" s="144" t="n">
        <v>4</v>
      </c>
      <c r="D65" s="144" t="n">
        <v>10</v>
      </c>
      <c r="E65" s="170" t="n">
        <v>6</v>
      </c>
      <c r="F65" s="145" t="inlineStr">
        <is>
          <t>Close (±1-2)</t>
        </is>
      </c>
      <c r="G65" s="145" t="inlineStr">
        <is>
          <t>File: 8, Verified: 10 (diff: +2)</t>
        </is>
      </c>
    </row>
    <row r="66" ht="15" customHeight="1" s="91">
      <c r="A66" s="140" t="inlineStr">
        <is>
          <t>Georgetown McDonough</t>
        </is>
      </c>
      <c r="B66" s="140" t="inlineStr">
        <is>
          <t>Operations and Analytics</t>
        </is>
      </c>
      <c r="C66" s="143" t="n">
        <v>7</v>
      </c>
      <c r="D66" s="143" t="n">
        <v>16</v>
      </c>
      <c r="E66" s="169" t="n">
        <v>9</v>
      </c>
      <c r="F66" s="140" t="inlineStr">
        <is>
          <t>Close (±1-2)</t>
        </is>
      </c>
      <c r="G66" s="140" t="inlineStr">
        <is>
          <t>File: 14, Verified: 16 (diff: +2)</t>
        </is>
      </c>
    </row>
    <row r="67" ht="15" customHeight="1" s="91">
      <c r="A67" s="145" t="inlineStr">
        <is>
          <t>Harvard HBS</t>
        </is>
      </c>
      <c r="B67" s="145" t="inlineStr">
        <is>
          <t>Accounting &amp; Management</t>
        </is>
      </c>
      <c r="C67" s="144" t="n">
        <v>18</v>
      </c>
      <c r="D67" s="144" t="n">
        <v>13</v>
      </c>
      <c r="E67" s="172" t="n">
        <v>-5</v>
      </c>
      <c r="F67" s="145" t="inlineStr">
        <is>
          <t>Discrepancy</t>
        </is>
      </c>
      <c r="G67" s="145" t="inlineStr">
        <is>
          <t>File: 17, Verified: 13 (diff: -4). Found 13 TT; claimed 17 likely includes emeriti/lecturers</t>
        </is>
      </c>
    </row>
    <row r="68" ht="15" customHeight="1" s="91">
      <c r="A68" s="140" t="inlineStr">
        <is>
          <t>Harvard HBS</t>
        </is>
      </c>
      <c r="B68" s="140" t="inlineStr">
        <is>
          <t>Business, Government &amp; the International Economy</t>
        </is>
      </c>
      <c r="C68" s="143" t="n">
        <v>20</v>
      </c>
      <c r="D68" s="143" t="n">
        <v>18</v>
      </c>
      <c r="E68" s="171" t="n">
        <v>-2</v>
      </c>
      <c r="F68" s="140" t="inlineStr">
        <is>
          <t>Discrepancy</t>
        </is>
      </c>
      <c r="G68" s="140" t="inlineStr">
        <is>
          <t>File: 23, Verified: 18 (diff: -5). Found 18 TT; claimed 23 likely counts all faculty including non-T</t>
        </is>
      </c>
    </row>
    <row r="69" ht="15" customHeight="1" s="91">
      <c r="A69" s="145" t="inlineStr">
        <is>
          <t>Harvard HBS</t>
        </is>
      </c>
      <c r="B69" s="145" t="inlineStr">
        <is>
          <t>Entrepreneurial Management</t>
        </is>
      </c>
      <c r="C69" s="144" t="n">
        <v>22</v>
      </c>
      <c r="D69" s="144" t="n">
        <v>26</v>
      </c>
      <c r="E69" s="170" t="n">
        <v>4</v>
      </c>
      <c r="F69" s="145" t="inlineStr">
        <is>
          <t>Confirmed</t>
        </is>
      </c>
      <c r="G69" s="145" t="inlineStr">
        <is>
          <t>Exact match with verified count</t>
        </is>
      </c>
    </row>
    <row r="70" ht="15" customHeight="1" s="91">
      <c r="A70" s="140" t="inlineStr">
        <is>
          <t>Harvard HBS</t>
        </is>
      </c>
      <c r="B70" s="140" t="inlineStr">
        <is>
          <t>Finance</t>
        </is>
      </c>
      <c r="C70" s="143" t="n">
        <v>28</v>
      </c>
      <c r="D70" s="143" t="n">
        <v>27</v>
      </c>
      <c r="E70" s="171" t="n">
        <v>-1</v>
      </c>
      <c r="F70" s="140" t="inlineStr">
        <is>
          <t>Discrepancy</t>
        </is>
      </c>
      <c r="G70" s="140" t="inlineStr">
        <is>
          <t>File: 24, Verified: 27 (diff: +3). Found 27; claim may have excluded 3 recent hires or joint appoint</t>
        </is>
      </c>
    </row>
    <row r="71" ht="15" customHeight="1" s="91">
      <c r="A71" s="145" t="inlineStr">
        <is>
          <t>Harvard HBS</t>
        </is>
      </c>
      <c r="B71" s="145" t="inlineStr">
        <is>
          <t>General Management</t>
        </is>
      </c>
      <c r="C71" s="144" t="n">
        <v>18</v>
      </c>
      <c r="D71" s="144" t="n">
        <v>10</v>
      </c>
      <c r="E71" s="172" t="n">
        <v>-8</v>
      </c>
      <c r="F71" s="145" t="inlineStr">
        <is>
          <t>Discrepancy</t>
        </is>
      </c>
      <c r="G71" s="145" t="inlineStr">
        <is>
          <t>File: 13, Verified: 10 (diff: -3). Found ~10 TT; includes many cross-listed/practice faculty</t>
        </is>
      </c>
    </row>
    <row r="72" ht="15" customHeight="1" s="91">
      <c r="A72" s="140" t="inlineStr">
        <is>
          <t>Harvard HBS</t>
        </is>
      </c>
      <c r="B72" s="140" t="inlineStr">
        <is>
          <t>Marketing</t>
        </is>
      </c>
      <c r="C72" s="143" t="n">
        <v>22</v>
      </c>
      <c r="D72" s="143" t="n">
        <v>15</v>
      </c>
      <c r="E72" s="171" t="n">
        <v>-7</v>
      </c>
      <c r="F72" s="140" t="inlineStr">
        <is>
          <t>Confirmed</t>
        </is>
      </c>
      <c r="G72" s="140" t="inlineStr">
        <is>
          <t>Exact match with verified count</t>
        </is>
      </c>
    </row>
    <row r="73" ht="15" customHeight="1" s="91">
      <c r="A73" s="145" t="inlineStr">
        <is>
          <t>Harvard HBS</t>
        </is>
      </c>
      <c r="B73" s="145" t="inlineStr">
        <is>
          <t>Negotiation, Organizations &amp; Markets</t>
        </is>
      </c>
      <c r="C73" s="144" t="n">
        <v>20</v>
      </c>
      <c r="D73" s="144" t="n">
        <v>21</v>
      </c>
      <c r="E73" s="170" t="n">
        <v>1</v>
      </c>
      <c r="F73" s="145" t="inlineStr">
        <is>
          <t>Close (±1-2)</t>
        </is>
      </c>
      <c r="G73" s="145" t="inlineStr">
        <is>
          <t>File: 22, Verified: 21 (diff: -1)</t>
        </is>
      </c>
    </row>
    <row r="74" ht="15" customHeight="1" s="91">
      <c r="A74" s="140" t="inlineStr">
        <is>
          <t>Harvard HBS</t>
        </is>
      </c>
      <c r="B74" s="140" t="inlineStr">
        <is>
          <t>Organizational Behavior</t>
        </is>
      </c>
      <c r="C74" s="143" t="n">
        <v>22</v>
      </c>
      <c r="D74" s="143" t="n">
        <v>19</v>
      </c>
      <c r="E74" s="171" t="n">
        <v>-3</v>
      </c>
      <c r="F74" s="140" t="inlineStr">
        <is>
          <t>Confirmed</t>
        </is>
      </c>
      <c r="G74" s="140" t="inlineStr">
        <is>
          <t>Exact match with verified count</t>
        </is>
      </c>
    </row>
    <row r="75" ht="15" customHeight="1" s="91">
      <c r="A75" s="145" t="inlineStr">
        <is>
          <t>Harvard HBS</t>
        </is>
      </c>
      <c r="B75" s="145" t="inlineStr">
        <is>
          <t>Strategy</t>
        </is>
      </c>
      <c r="C75" s="144" t="n">
        <v>22</v>
      </c>
      <c r="D75" s="144" t="n">
        <v>19</v>
      </c>
      <c r="E75" s="172" t="n">
        <v>-3</v>
      </c>
      <c r="F75" s="145" t="inlineStr">
        <is>
          <t>Close (±1-2)</t>
        </is>
      </c>
      <c r="G75" s="145" t="inlineStr">
        <is>
          <t>File: 18, Verified: 19 (diff: +1)</t>
        </is>
      </c>
    </row>
    <row r="76" ht="15" customHeight="1" s="91">
      <c r="A76" s="140" t="inlineStr">
        <is>
          <t>Harvard HBS</t>
        </is>
      </c>
      <c r="B76" s="140" t="inlineStr">
        <is>
          <t>Technology &amp; Operations Management</t>
        </is>
      </c>
      <c r="C76" s="143" t="n">
        <v>17</v>
      </c>
      <c r="D76" s="143" t="n">
        <v>22</v>
      </c>
      <c r="E76" s="169" t="n">
        <v>5</v>
      </c>
      <c r="F76" s="140" t="inlineStr">
        <is>
          <t>Close (±1-2)</t>
        </is>
      </c>
      <c r="G76" s="140" t="inlineStr">
        <is>
          <t>File: 24, Verified: 22 (diff: -2)</t>
        </is>
      </c>
    </row>
    <row r="77" ht="15" customHeight="1" s="91">
      <c r="A77" s="145" t="inlineStr">
        <is>
          <t>Indiana Kelley</t>
        </is>
      </c>
      <c r="B77" s="145" t="inlineStr">
        <is>
          <t>Accounting</t>
        </is>
      </c>
      <c r="C77" s="144" t="n">
        <v>7</v>
      </c>
      <c r="D77" s="144" t="n">
        <v>31</v>
      </c>
      <c r="E77" s="170" t="n">
        <v>24</v>
      </c>
      <c r="F77" s="145" t="inlineStr">
        <is>
          <t>Confirmed</t>
        </is>
      </c>
      <c r="G77" s="145" t="inlineStr">
        <is>
          <t>Exact match. Main faculty directory (503 entries) analyzed. HH 5100 (Accounting office): Anderson, B</t>
        </is>
      </c>
    </row>
    <row r="78" ht="15" customHeight="1" s="91">
      <c r="A78" s="140" t="inlineStr">
        <is>
          <t>Indiana Kelley</t>
        </is>
      </c>
      <c r="B78" s="140" t="inlineStr">
        <is>
          <t>Business Economics &amp; Public Policy</t>
        </is>
      </c>
      <c r="C78" s="143" t="n">
        <v>7</v>
      </c>
      <c r="D78" s="143" t="n">
        <v>18</v>
      </c>
      <c r="E78" s="169" t="n">
        <v>11</v>
      </c>
      <c r="F78" s="140" t="inlineStr">
        <is>
          <t>Confirmed</t>
        </is>
      </c>
      <c r="G78" s="140" t="inlineStr">
        <is>
          <t xml:space="preserve">Exact match. HH 3080 (BEPP office): Basak, Baye, Boleslavsky, Butters, Dias De Sousa (Acting Asst), </t>
        </is>
      </c>
    </row>
    <row r="79" ht="15" customHeight="1" s="91">
      <c r="A79" s="145" t="inlineStr">
        <is>
          <t>Indiana Kelley</t>
        </is>
      </c>
      <c r="B79" s="145" t="inlineStr">
        <is>
          <t>Business Law &amp; Ethics</t>
        </is>
      </c>
      <c r="C79" s="144" t="n">
        <v>7</v>
      </c>
      <c r="D79" s="144" t="n">
        <v>16</v>
      </c>
      <c r="E79" s="170" t="n">
        <v>9</v>
      </c>
      <c r="F79" s="145" t="inlineStr">
        <is>
          <t>Close (±1-2)</t>
        </is>
      </c>
      <c r="G79" s="145" t="inlineStr">
        <is>
          <t>File: 18, Verified: 16 (over by 2). CG 3080 (BLE office): Bedi, Fort, Gaske, Grow, Guevara, Haugh, H</t>
        </is>
      </c>
    </row>
    <row r="80" ht="15" customHeight="1" s="91">
      <c r="A80" s="140" t="inlineStr">
        <is>
          <t>Indiana Kelley</t>
        </is>
      </c>
      <c r="B80" s="140" t="inlineStr">
        <is>
          <t>Finance</t>
        </is>
      </c>
      <c r="C80" s="143" t="n">
        <v>8</v>
      </c>
      <c r="D80" s="143" t="n">
        <v>30</v>
      </c>
      <c r="E80" s="169" t="n">
        <v>22</v>
      </c>
      <c r="F80" s="140" t="inlineStr">
        <is>
          <t>Close (±1-2)</t>
        </is>
      </c>
      <c r="G80" s="140" t="inlineStr">
        <is>
          <t>File: 31, Verified: 30 (over by 1). HH 6100 (Finance office): Baba Yara, Billett, Carvalho, Chebotar</t>
        </is>
      </c>
    </row>
    <row r="81" ht="15" customHeight="1" s="91">
      <c r="A81" s="145" t="inlineStr">
        <is>
          <t>Indiana Kelley</t>
        </is>
      </c>
      <c r="B81" s="145" t="inlineStr">
        <is>
          <t>Management and Entrepreneurship</t>
        </is>
      </c>
      <c r="C81" s="144" t="n">
        <v>7</v>
      </c>
      <c r="D81" s="144" t="n">
        <v>34</v>
      </c>
      <c r="E81" s="170" t="n">
        <v>27</v>
      </c>
      <c r="F81" s="145" t="inlineStr">
        <is>
          <t>Confirmed</t>
        </is>
      </c>
      <c r="G81" s="145" t="inlineStr">
        <is>
          <t>Exact match. HH 3100 (M&amp;E office): Baek, Berry, Bu, Chin, Cho, Fisher, Genin, Guarana, Iqbal, Josefy</t>
        </is>
      </c>
    </row>
    <row r="82" ht="15" customHeight="1" s="91">
      <c r="A82" s="140" t="inlineStr">
        <is>
          <t>Indiana Kelley</t>
        </is>
      </c>
      <c r="B82" s="140" t="inlineStr">
        <is>
          <t>Marketing</t>
        </is>
      </c>
      <c r="C82" s="143" t="n">
        <v>7</v>
      </c>
      <c r="D82" s="143" t="n">
        <v>25</v>
      </c>
      <c r="E82" s="169" t="n">
        <v>18</v>
      </c>
      <c r="F82" s="140" t="inlineStr">
        <is>
          <t>Confirmed</t>
        </is>
      </c>
      <c r="G82" s="140" t="inlineStr">
        <is>
          <t>Exact match. HH 2100 (Marketing office): Burke, Christensen, Cosguner, Fossen, Grey, Gu, Haltman, Kh</t>
        </is>
      </c>
    </row>
    <row r="83" ht="15" customHeight="1" s="91">
      <c r="A83" s="145" t="inlineStr">
        <is>
          <t>Indiana Kelley</t>
        </is>
      </c>
      <c r="B83" s="145" t="inlineStr">
        <is>
          <t>Operations &amp; Decision Technologies</t>
        </is>
      </c>
      <c r="C83" s="144" t="n">
        <v>5</v>
      </c>
      <c r="D83" s="144" t="n">
        <v>37</v>
      </c>
      <c r="E83" s="170" t="n">
        <v>32</v>
      </c>
      <c r="F83" s="145" t="inlineStr">
        <is>
          <t>Close (±1-2)</t>
        </is>
      </c>
      <c r="G83" s="145" t="inlineStr">
        <is>
          <t>File: 39, Verified: 37 (over by 2). HH 4100 (ODT office): Bae, Bala, G. Ball, Blocher, Brendel, Bret</t>
        </is>
      </c>
    </row>
    <row r="84" ht="15" customHeight="1" s="91">
      <c r="A84" s="140" t="inlineStr">
        <is>
          <t>Kellogg</t>
        </is>
      </c>
      <c r="B84" s="140" t="inlineStr">
        <is>
          <t>Accounting Information &amp; Management</t>
        </is>
      </c>
      <c r="C84" s="143" t="n">
        <v>10</v>
      </c>
      <c r="D84" s="143" t="n">
        <v>11</v>
      </c>
      <c r="E84" s="169" t="n">
        <v>1</v>
      </c>
      <c r="F84" s="140" t="inlineStr">
        <is>
          <t>Close (±1-2)</t>
        </is>
      </c>
      <c r="G84" s="140" t="inlineStr">
        <is>
          <t>File: 10, Verified: 11 (diff: +1)</t>
        </is>
      </c>
    </row>
    <row r="85" ht="15" customHeight="1" s="91">
      <c r="A85" s="145" t="inlineStr">
        <is>
          <t>Kellogg</t>
        </is>
      </c>
      <c r="B85" s="145" t="inlineStr">
        <is>
          <t>Finance</t>
        </is>
      </c>
      <c r="C85" s="144" t="n">
        <v>26</v>
      </c>
      <c r="D85" s="144" t="n">
        <v>28</v>
      </c>
      <c r="E85" s="170" t="n">
        <v>2</v>
      </c>
      <c r="F85" s="145" t="inlineStr">
        <is>
          <t>Close (±1-2)</t>
        </is>
      </c>
      <c r="G85" s="145" t="inlineStr">
        <is>
          <t>File: 26, Verified: 28 (diff: +2)</t>
        </is>
      </c>
    </row>
    <row r="86" ht="15" customHeight="1" s="91">
      <c r="A86" s="140" t="inlineStr">
        <is>
          <t>Kellogg</t>
        </is>
      </c>
      <c r="B86" s="140" t="inlineStr">
        <is>
          <t>Managerial Economics &amp; Decision Sciences</t>
        </is>
      </c>
      <c r="C86" s="143" t="n">
        <v>20</v>
      </c>
      <c r="D86" s="143" t="n">
        <v>19</v>
      </c>
      <c r="E86" s="171" t="n">
        <v>-1</v>
      </c>
      <c r="F86" s="140" t="inlineStr">
        <is>
          <t>Close (±1-2)</t>
        </is>
      </c>
      <c r="G86" s="140" t="inlineStr">
        <is>
          <t>File: 20, Verified: 19 (diff: -1)</t>
        </is>
      </c>
    </row>
    <row r="87" ht="15" customHeight="1" s="91">
      <c r="A87" s="145" t="inlineStr">
        <is>
          <t>Kellogg</t>
        </is>
      </c>
      <c r="B87" s="145" t="inlineStr">
        <is>
          <t>Operations</t>
        </is>
      </c>
      <c r="C87" s="144" t="n">
        <v>13</v>
      </c>
      <c r="D87" s="144" t="n">
        <v>14</v>
      </c>
      <c r="E87" s="170" t="n">
        <v>1</v>
      </c>
      <c r="F87" s="145" t="inlineStr">
        <is>
          <t>Close (±1-2)</t>
        </is>
      </c>
      <c r="G87" s="145" t="inlineStr">
        <is>
          <t>File: 13, Verified: 14 (diff: +1)</t>
        </is>
      </c>
    </row>
    <row r="88" ht="15" customHeight="1" s="91">
      <c r="A88" s="140" t="inlineStr">
        <is>
          <t>Kellogg</t>
        </is>
      </c>
      <c r="B88" s="140" t="inlineStr">
        <is>
          <t>Strategy</t>
        </is>
      </c>
      <c r="C88" s="143" t="n">
        <v>24</v>
      </c>
      <c r="D88" s="143" t="n">
        <v>25</v>
      </c>
      <c r="E88" s="169" t="n">
        <v>1</v>
      </c>
      <c r="F88" s="140" t="inlineStr">
        <is>
          <t>Close (±1-2)</t>
        </is>
      </c>
      <c r="G88" s="140" t="inlineStr">
        <is>
          <t>File: 24, Verified: 25 (diff: +1)</t>
        </is>
      </c>
    </row>
    <row r="89" ht="15" customHeight="1" s="91">
      <c r="A89" s="145" t="inlineStr">
        <is>
          <t>MIT Sloan</t>
        </is>
      </c>
      <c r="B89" s="145" t="inlineStr">
        <is>
          <t>Applied Economics</t>
        </is>
      </c>
      <c r="C89" s="144" t="n">
        <v>18</v>
      </c>
      <c r="D89" s="144" t="n">
        <v>15</v>
      </c>
      <c r="E89" s="172" t="n">
        <v>-3</v>
      </c>
      <c r="F89" s="145" t="inlineStr">
        <is>
          <t>Discrepancy</t>
        </is>
      </c>
      <c r="G89" s="145" t="inlineStr">
        <is>
          <t>File: 18, Verified: 15 (diff: -3). 15 found; -3 may reflect departures</t>
        </is>
      </c>
    </row>
    <row r="90" ht="15" customHeight="1" s="91">
      <c r="A90" s="140" t="inlineStr">
        <is>
          <t>MIT Sloan</t>
        </is>
      </c>
      <c r="B90" s="140" t="inlineStr">
        <is>
          <t>Information Technology</t>
        </is>
      </c>
      <c r="C90" s="143" t="n">
        <v>13</v>
      </c>
      <c r="D90" s="143" t="n">
        <v>9</v>
      </c>
      <c r="E90" s="171" t="n">
        <v>-4</v>
      </c>
      <c r="F90" s="140" t="inlineStr">
        <is>
          <t>Discrepancy</t>
        </is>
      </c>
      <c r="G90" s="140" t="inlineStr">
        <is>
          <t>File: 13, Verified: 9 (diff: -4). 9 found; claimed 13 may have counted affiliates</t>
        </is>
      </c>
    </row>
    <row r="91" ht="15" customHeight="1" s="91">
      <c r="A91" s="145" t="inlineStr">
        <is>
          <t>MIT Sloan</t>
        </is>
      </c>
      <c r="B91" s="145" t="inlineStr">
        <is>
          <t>Marketing</t>
        </is>
      </c>
      <c r="C91" s="144" t="n">
        <v>7</v>
      </c>
      <c r="D91" s="144" t="n">
        <v>9</v>
      </c>
      <c r="E91" s="170" t="n">
        <v>2</v>
      </c>
      <c r="F91" s="145" t="inlineStr">
        <is>
          <t>Close (±1-2)</t>
        </is>
      </c>
      <c r="G91" s="145" t="inlineStr">
        <is>
          <t>File: 7, Verified: 9 (diff: +2)</t>
        </is>
      </c>
    </row>
    <row r="92" ht="15" customHeight="1" s="91">
      <c r="A92" s="140" t="inlineStr">
        <is>
          <t>MIT Sloan</t>
        </is>
      </c>
      <c r="B92" s="140" t="inlineStr">
        <is>
          <t>Operations Management</t>
        </is>
      </c>
      <c r="C92" s="143" t="n">
        <v>11</v>
      </c>
      <c r="D92" s="143" t="n">
        <v>12</v>
      </c>
      <c r="E92" s="169" t="n">
        <v>1</v>
      </c>
      <c r="F92" s="140" t="inlineStr">
        <is>
          <t>Close (±1-2)</t>
        </is>
      </c>
      <c r="G92" s="140" t="inlineStr">
        <is>
          <t>File: 11, Verified: 12 (diff: +1)</t>
        </is>
      </c>
    </row>
    <row r="93" ht="15" customHeight="1" s="91">
      <c r="A93" s="145" t="inlineStr">
        <is>
          <t>Maryland Smith</t>
        </is>
      </c>
      <c r="B93" s="145" t="inlineStr">
        <is>
          <t>Accounting and Information Assurance</t>
        </is>
      </c>
      <c r="C93" s="144" t="n">
        <v>21</v>
      </c>
      <c r="D93" s="144" t="n">
        <v>9</v>
      </c>
      <c r="E93" s="172" t="n">
        <v>-12</v>
      </c>
      <c r="F93" s="145" t="inlineStr">
        <is>
          <t>Close (±1-2)</t>
        </is>
      </c>
      <c r="G93" s="145" t="inlineStr">
        <is>
          <t xml:space="preserve">File: 8, Verified: 9 (under by 1). TT faculty: Sean Cao (Assoc Prof), Lawrence A. Gordon (EY Alumni </t>
        </is>
      </c>
    </row>
    <row r="94" ht="15" customHeight="1" s="91">
      <c r="A94" s="140" t="inlineStr">
        <is>
          <t>Maryland Smith</t>
        </is>
      </c>
      <c r="B94" s="140" t="inlineStr">
        <is>
          <t>Decision, Operations and Information Technologies</t>
        </is>
      </c>
      <c r="C94" s="143" t="n">
        <v>20</v>
      </c>
      <c r="D94" s="143" t="n">
        <v>27</v>
      </c>
      <c r="E94" s="169" t="n">
        <v>7</v>
      </c>
      <c r="F94" s="140" t="inlineStr">
        <is>
          <t>Discrepancy</t>
        </is>
      </c>
      <c r="G94" s="140" t="inlineStr">
        <is>
          <t>File: 23, Verified: 27 (under by 4). TT faculty per UMD undergraduate catalog: Professors (13): Anan</t>
        </is>
      </c>
    </row>
    <row r="95" ht="15" customHeight="1" s="91">
      <c r="A95" s="145" t="inlineStr">
        <is>
          <t>Maryland Smith</t>
        </is>
      </c>
      <c r="B95" s="145" t="inlineStr">
        <is>
          <t>Finance</t>
        </is>
      </c>
      <c r="C95" s="144" t="n">
        <v>28</v>
      </c>
      <c r="D95" s="144" t="n">
        <v>20</v>
      </c>
      <c r="E95" s="172" t="n">
        <v>-8</v>
      </c>
      <c r="F95" s="145" t="inlineStr">
        <is>
          <t>Close (±1-2)</t>
        </is>
      </c>
      <c r="G95" s="145" t="inlineStr">
        <is>
          <t>File: 18, Verified: 20 (under by 2). TT faculty: Tania Babina (Assoc Prof), Cecilia Bustamante (Asso</t>
        </is>
      </c>
    </row>
    <row r="96" ht="15" customHeight="1" s="91">
      <c r="A96" s="140" t="inlineStr">
        <is>
          <t>Maryland Smith</t>
        </is>
      </c>
      <c r="B96" s="140" t="inlineStr">
        <is>
          <t>Logistics, Business and Public Policy</t>
        </is>
      </c>
      <c r="C96" s="143" t="n">
        <v>21</v>
      </c>
      <c r="D96" s="143" t="n">
        <v>9</v>
      </c>
      <c r="E96" s="171" t="n">
        <v>-12</v>
      </c>
      <c r="F96" s="140" t="inlineStr">
        <is>
          <t>Close (±1-2)</t>
        </is>
      </c>
      <c r="G96" s="140" t="inlineStr">
        <is>
          <t>File: 11, Verified: 9 (over by 2). TT faculty: T. Leigh Anenson (Prof), Wilbur Chung (Assoc Prof), T</t>
        </is>
      </c>
    </row>
    <row r="97" ht="15" customHeight="1" s="91">
      <c r="A97" s="145" t="inlineStr">
        <is>
          <t>Maryland Smith</t>
        </is>
      </c>
      <c r="B97" s="145" t="inlineStr">
        <is>
          <t>Management and Organization</t>
        </is>
      </c>
      <c r="C97" s="144" t="n">
        <v>22</v>
      </c>
      <c r="D97" s="144" t="n">
        <v>17</v>
      </c>
      <c r="E97" s="172" t="n">
        <v>-5</v>
      </c>
      <c r="F97" s="145" t="inlineStr">
        <is>
          <t>Discrepancy</t>
        </is>
      </c>
      <c r="G97" s="145" t="inlineStr">
        <is>
          <t>File: 13, Verified: 17 (under by 4). TT faculty: Rajshree Agarwal (Rudolph Lamone Chair/Prof), Sergu</t>
        </is>
      </c>
    </row>
    <row r="98" ht="15" customHeight="1" s="91">
      <c r="A98" s="140" t="inlineStr">
        <is>
          <t>Maryland Smith</t>
        </is>
      </c>
      <c r="B98" s="140" t="inlineStr">
        <is>
          <t>Marketing</t>
        </is>
      </c>
      <c r="C98" s="143" t="n">
        <v>23</v>
      </c>
      <c r="D98" s="143" t="n">
        <v>16</v>
      </c>
      <c r="E98" s="171" t="n">
        <v>-7</v>
      </c>
      <c r="F98" s="140" t="inlineStr">
        <is>
          <t>Confirmed</t>
        </is>
      </c>
      <c r="G98" s="140" t="inlineStr">
        <is>
          <t>Exact match. TT faculty confirmed via faculty page + UMD catalog + news sources: W. Jason Choi (Asst</t>
        </is>
      </c>
    </row>
    <row r="99" ht="15" customHeight="1" s="91">
      <c r="A99" s="145" t="inlineStr">
        <is>
          <t>Michigan Ross</t>
        </is>
      </c>
      <c r="B99" s="145" t="inlineStr">
        <is>
          <t>Accounting</t>
        </is>
      </c>
      <c r="C99" s="144" t="n">
        <v>10</v>
      </c>
      <c r="D99" s="144" t="n">
        <v>9</v>
      </c>
      <c r="E99" s="172" t="n">
        <v>-1</v>
      </c>
      <c r="F99" s="145" t="inlineStr">
        <is>
          <t>Discrepancy</t>
        </is>
      </c>
      <c r="G99" s="145" t="inlineStr">
        <is>
          <t>File: 13, Verified: 9 (diff: -4). 9 found; -3</t>
        </is>
      </c>
    </row>
    <row r="100" ht="15" customHeight="1" s="91">
      <c r="A100" s="140" t="inlineStr">
        <is>
          <t>Michigan Ross</t>
        </is>
      </c>
      <c r="B100" s="140" t="inlineStr">
        <is>
          <t>Business Economics and Public Policy</t>
        </is>
      </c>
      <c r="C100" s="143" t="n">
        <v>11</v>
      </c>
      <c r="D100" s="143" t="n">
        <v>10</v>
      </c>
      <c r="E100" s="171" t="n">
        <v>-1</v>
      </c>
      <c r="F100" s="140" t="inlineStr">
        <is>
          <t>Discrepancy</t>
        </is>
      </c>
      <c r="G100" s="140" t="inlineStr">
        <is>
          <t>File: 13, Verified: 10 (diff: -3). Exact match</t>
        </is>
      </c>
    </row>
    <row r="101" ht="15" customHeight="1" s="91">
      <c r="A101" s="145" t="inlineStr">
        <is>
          <t>Michigan Ross</t>
        </is>
      </c>
      <c r="B101" s="145" t="inlineStr">
        <is>
          <t>Finance</t>
        </is>
      </c>
      <c r="C101" s="144" t="n">
        <v>13</v>
      </c>
      <c r="D101" s="144" t="n">
        <v>11</v>
      </c>
      <c r="E101" s="172" t="n">
        <v>-2</v>
      </c>
      <c r="F101" s="145" t="inlineStr">
        <is>
          <t>Close (±1-2)</t>
        </is>
      </c>
      <c r="G101" s="145" t="inlineStr">
        <is>
          <t>File: 13, Verified: 11 (diff: -2)</t>
        </is>
      </c>
    </row>
    <row r="102" ht="15" customHeight="1" s="91">
      <c r="A102" s="140" t="inlineStr">
        <is>
          <t>Michigan Ross</t>
        </is>
      </c>
      <c r="B102" s="140" t="inlineStr">
        <is>
          <t>Management and Organizations</t>
        </is>
      </c>
      <c r="C102" s="143" t="n">
        <v>11</v>
      </c>
      <c r="D102" s="143" t="n">
        <v>20</v>
      </c>
      <c r="E102" s="169" t="n">
        <v>9</v>
      </c>
      <c r="F102" s="140" t="inlineStr">
        <is>
          <t>Close (±1-2)</t>
        </is>
      </c>
      <c r="G102" s="140" t="inlineStr">
        <is>
          <t>File: 18, Verified: 20 (diff: +2)</t>
        </is>
      </c>
    </row>
    <row r="103" ht="15" customHeight="1" s="91">
      <c r="A103" s="145" t="inlineStr">
        <is>
          <t>Michigan Ross</t>
        </is>
      </c>
      <c r="B103" s="145" t="inlineStr">
        <is>
          <t>Marketing</t>
        </is>
      </c>
      <c r="C103" s="144" t="n">
        <v>11</v>
      </c>
      <c r="D103" s="144" t="n">
        <v>13</v>
      </c>
      <c r="E103" s="170" t="n">
        <v>2</v>
      </c>
      <c r="F103" s="145" t="inlineStr">
        <is>
          <t>Close (±1-2)</t>
        </is>
      </c>
      <c r="G103" s="145" t="inlineStr">
        <is>
          <t>File: 15, Verified: 13 (diff: -2)</t>
        </is>
      </c>
    </row>
    <row r="104" ht="15" customHeight="1" s="91">
      <c r="A104" s="140" t="inlineStr">
        <is>
          <t>Michigan Ross</t>
        </is>
      </c>
      <c r="B104" s="140" t="inlineStr">
        <is>
          <t>Strategy</t>
        </is>
      </c>
      <c r="C104" s="143" t="n">
        <v>10</v>
      </c>
      <c r="D104" s="143" t="n">
        <v>11</v>
      </c>
      <c r="E104" s="169" t="n">
        <v>1</v>
      </c>
      <c r="F104" s="140" t="inlineStr">
        <is>
          <t>Close (±1-2)</t>
        </is>
      </c>
      <c r="G104" s="140" t="inlineStr">
        <is>
          <t>File: 10, Verified: 11 (diff: +1)</t>
        </is>
      </c>
    </row>
    <row r="105" ht="15" customHeight="1" s="91">
      <c r="A105" s="145" t="inlineStr">
        <is>
          <t>Michigan Ross</t>
        </is>
      </c>
      <c r="B105" s="145" t="inlineStr">
        <is>
          <t>Technology and Operations</t>
        </is>
      </c>
      <c r="C105" s="144" t="n">
        <v>8</v>
      </c>
      <c r="D105" s="144" t="n">
        <v>21</v>
      </c>
      <c r="E105" s="170" t="n">
        <v>13</v>
      </c>
      <c r="F105" s="145" t="inlineStr">
        <is>
          <t>Close (±1-2)</t>
        </is>
      </c>
      <c r="G105" s="145" t="inlineStr">
        <is>
          <t>File: 20, Verified: 21 (diff: +1)</t>
        </is>
      </c>
    </row>
    <row r="106" ht="15" customHeight="1" s="91">
      <c r="A106" s="140" t="inlineStr">
        <is>
          <t>Minnesota Carlson</t>
        </is>
      </c>
      <c r="B106" s="140" t="inlineStr">
        <is>
          <t>Accounting</t>
        </is>
      </c>
      <c r="C106" s="143" t="n">
        <v>17</v>
      </c>
      <c r="D106" s="143" t="n">
        <v>13</v>
      </c>
      <c r="E106" s="171" t="n">
        <v>-4</v>
      </c>
      <c r="F106" s="140" t="inlineStr">
        <is>
          <t>Close (±1-2)</t>
        </is>
      </c>
      <c r="G106" s="140" t="inlineStr">
        <is>
          <t>File: 11, Verified: 13 (diff: +2)</t>
        </is>
      </c>
    </row>
    <row r="107" ht="15" customHeight="1" s="91">
      <c r="A107" s="145" t="inlineStr">
        <is>
          <t>Minnesota Carlson</t>
        </is>
      </c>
      <c r="B107" s="145" t="inlineStr">
        <is>
          <t>Finance</t>
        </is>
      </c>
      <c r="C107" s="144" t="n">
        <v>21</v>
      </c>
      <c r="D107" s="144" t="n">
        <v>15</v>
      </c>
      <c r="E107" s="172" t="n">
        <v>-6</v>
      </c>
      <c r="F107" s="145" t="inlineStr">
        <is>
          <t>Discrepancy</t>
        </is>
      </c>
      <c r="G107" s="145" t="inlineStr">
        <is>
          <t>File: 9, Verified: 15 (diff: +6). 15 found; claimed 9 appears to be undercount</t>
        </is>
      </c>
    </row>
    <row r="108" ht="15" customHeight="1" s="91">
      <c r="A108" s="140" t="inlineStr">
        <is>
          <t>Minnesota Carlson</t>
        </is>
      </c>
      <c r="B108" s="140" t="inlineStr">
        <is>
          <t>Information &amp; Decision Sciences</t>
        </is>
      </c>
      <c r="C108" s="143" t="n">
        <v>16</v>
      </c>
      <c r="D108" s="143" t="n">
        <v>18</v>
      </c>
      <c r="E108" s="169" t="n">
        <v>2</v>
      </c>
      <c r="F108" s="140" t="inlineStr">
        <is>
          <t>Discrepancy</t>
        </is>
      </c>
      <c r="G108" s="140" t="inlineStr">
        <is>
          <t>File: 15, Verified: 18 (diff: +3). 18 found; +3</t>
        </is>
      </c>
    </row>
    <row r="109" ht="15" customHeight="1" s="91">
      <c r="A109" s="145" t="inlineStr">
        <is>
          <t>Minnesota Carlson</t>
        </is>
      </c>
      <c r="B109" s="145" t="inlineStr">
        <is>
          <t>Marketing</t>
        </is>
      </c>
      <c r="C109" s="144" t="n">
        <v>18</v>
      </c>
      <c r="D109" s="144" t="n">
        <v>15</v>
      </c>
      <c r="E109" s="172" t="n">
        <v>-3</v>
      </c>
      <c r="F109" s="145" t="inlineStr">
        <is>
          <t>Close (±1-2)</t>
        </is>
      </c>
      <c r="G109" s="145" t="inlineStr">
        <is>
          <t>File: 13, Verified: 15 (diff: +2)</t>
        </is>
      </c>
    </row>
    <row r="110" ht="15" customHeight="1" s="91">
      <c r="A110" s="140" t="inlineStr">
        <is>
          <t>Minnesota Carlson</t>
        </is>
      </c>
      <c r="B110" s="140" t="inlineStr">
        <is>
          <t>Strategic Management &amp; Entrepreneurship</t>
        </is>
      </c>
      <c r="C110" s="143" t="n">
        <v>18</v>
      </c>
      <c r="D110" s="143" t="n">
        <v>17</v>
      </c>
      <c r="E110" s="171" t="n">
        <v>-1</v>
      </c>
      <c r="F110" s="140" t="inlineStr">
        <is>
          <t>Confirmed</t>
        </is>
      </c>
      <c r="G110" s="140" t="inlineStr">
        <is>
          <t>Exact match with verified count</t>
        </is>
      </c>
    </row>
    <row r="111" ht="15" customHeight="1" s="91">
      <c r="A111" s="145" t="inlineStr">
        <is>
          <t>Minnesota Carlson</t>
        </is>
      </c>
      <c r="B111" s="145" t="inlineStr">
        <is>
          <t>Supply Chain &amp; Operations</t>
        </is>
      </c>
      <c r="C111" s="144" t="n">
        <v>14</v>
      </c>
      <c r="D111" s="144" t="n">
        <v>9</v>
      </c>
      <c r="E111" s="172" t="n">
        <v>-5</v>
      </c>
      <c r="F111" s="145" t="inlineStr">
        <is>
          <t>Close (±1-2)</t>
        </is>
      </c>
      <c r="G111" s="145" t="inlineStr">
        <is>
          <t>File: 8, Verified: 9 (diff: +1)</t>
        </is>
      </c>
    </row>
    <row r="112" ht="15" customHeight="1" s="91">
      <c r="A112" s="140" t="inlineStr">
        <is>
          <t>NYU Stern</t>
        </is>
      </c>
      <c r="B112" s="140" t="inlineStr">
        <is>
          <t>Accounting</t>
        </is>
      </c>
      <c r="C112" s="143" t="n">
        <v>20</v>
      </c>
      <c r="D112" s="143" t="n">
        <v>16</v>
      </c>
      <c r="E112" s="171" t="n">
        <v>-4</v>
      </c>
      <c r="F112" s="140" t="inlineStr">
        <is>
          <t>Confirmed</t>
        </is>
      </c>
      <c r="G112" s="140" t="inlineStr">
        <is>
          <t>Exact match with verified count</t>
        </is>
      </c>
    </row>
    <row r="113" ht="15" customHeight="1" s="91">
      <c r="A113" s="145" t="inlineStr">
        <is>
          <t>NYU Stern</t>
        </is>
      </c>
      <c r="B113" s="145" t="inlineStr">
        <is>
          <t>Finance</t>
        </is>
      </c>
      <c r="C113" s="144" t="n">
        <v>25</v>
      </c>
      <c r="D113" s="144" t="n">
        <v>32</v>
      </c>
      <c r="E113" s="170" t="n">
        <v>7</v>
      </c>
      <c r="F113" s="145" t="inlineStr">
        <is>
          <t>Discrepancy</t>
        </is>
      </c>
      <c r="G113" s="145" t="inlineStr">
        <is>
          <t>File: 38, Verified: 32 (diff: -6). 32 found; claimed 38 likely includes clinical/practice faculty</t>
        </is>
      </c>
    </row>
    <row r="114" ht="15" customHeight="1" s="91">
      <c r="A114" s="140" t="inlineStr">
        <is>
          <t>NYU Stern</t>
        </is>
      </c>
      <c r="B114" s="140" t="inlineStr">
        <is>
          <t>Management and Organizations</t>
        </is>
      </c>
      <c r="C114" s="143" t="n">
        <v>21</v>
      </c>
      <c r="D114" s="143" t="n">
        <v>31</v>
      </c>
      <c r="E114" s="169" t="n">
        <v>10</v>
      </c>
      <c r="F114" s="140" t="inlineStr">
        <is>
          <t>Discrepancy</t>
        </is>
      </c>
      <c r="G114" s="140" t="inlineStr">
        <is>
          <t>File: 34, Verified: 31 (diff: -3). 31 found; -3</t>
        </is>
      </c>
    </row>
    <row r="115" ht="15" customHeight="1" s="91">
      <c r="A115" s="145" t="inlineStr">
        <is>
          <t>NYU Stern</t>
        </is>
      </c>
      <c r="B115" s="145" t="inlineStr">
        <is>
          <t>Marketing</t>
        </is>
      </c>
      <c r="C115" s="144" t="n">
        <v>22</v>
      </c>
      <c r="D115" s="144" t="n">
        <v>24</v>
      </c>
      <c r="E115" s="170" t="n">
        <v>2</v>
      </c>
      <c r="F115" s="145" t="inlineStr">
        <is>
          <t>Close (±1-2)</t>
        </is>
      </c>
      <c r="G115" s="145" t="inlineStr">
        <is>
          <t>File: 26, Verified: 24 (diff: -2)</t>
        </is>
      </c>
    </row>
    <row r="116" ht="15" customHeight="1" s="91">
      <c r="A116" s="140" t="inlineStr">
        <is>
          <t>NYU Stern</t>
        </is>
      </c>
      <c r="B116" s="140" t="inlineStr">
        <is>
          <t>Technology, Operations, and Statistics</t>
        </is>
      </c>
      <c r="C116" s="143" t="n">
        <v>17</v>
      </c>
      <c r="D116" s="143" t="n">
        <v>34</v>
      </c>
      <c r="E116" s="169" t="n">
        <v>17</v>
      </c>
      <c r="F116" s="140" t="inlineStr">
        <is>
          <t>Confirmed</t>
        </is>
      </c>
      <c r="G116" s="140" t="inlineStr">
        <is>
          <t>Exact match with verified count</t>
        </is>
      </c>
    </row>
    <row r="117" ht="15" customHeight="1" s="91">
      <c r="A117" s="145" t="inlineStr">
        <is>
          <t>Notre Dame Mendoza</t>
        </is>
      </c>
      <c r="B117" s="145" t="inlineStr">
        <is>
          <t>Accountancy</t>
        </is>
      </c>
      <c r="C117" s="144" t="n">
        <v>11</v>
      </c>
      <c r="D117" s="144" t="n">
        <v>20</v>
      </c>
      <c r="E117" s="170" t="n">
        <v>9</v>
      </c>
      <c r="F117" s="145" t="inlineStr">
        <is>
          <t>Confirmed</t>
        </is>
      </c>
      <c r="G117" s="145" t="inlineStr">
        <is>
          <t>Exact match with verified count</t>
        </is>
      </c>
    </row>
    <row r="118" ht="15" customHeight="1" s="91">
      <c r="A118" s="140" t="inlineStr">
        <is>
          <t>Notre Dame Mendoza</t>
        </is>
      </c>
      <c r="B118" s="140" t="inlineStr">
        <is>
          <t>Finance</t>
        </is>
      </c>
      <c r="C118" s="143" t="n">
        <v>14</v>
      </c>
      <c r="D118" s="143" t="n">
        <v>20</v>
      </c>
      <c r="E118" s="169" t="n">
        <v>6</v>
      </c>
      <c r="F118" s="140" t="inlineStr">
        <is>
          <t>Confirmed</t>
        </is>
      </c>
      <c r="G118" s="140" t="inlineStr">
        <is>
          <t>Exact match with verified count</t>
        </is>
      </c>
    </row>
    <row r="119" ht="15" customHeight="1" s="91">
      <c r="A119" s="145" t="inlineStr">
        <is>
          <t>Notre Dame Mendoza</t>
        </is>
      </c>
      <c r="B119" s="145" t="inlineStr">
        <is>
          <t>IT, Analytics, and Operations</t>
        </is>
      </c>
      <c r="C119" s="144" t="n">
        <v>10</v>
      </c>
      <c r="D119" s="144" t="n">
        <v>24</v>
      </c>
      <c r="E119" s="170" t="n">
        <v>14</v>
      </c>
      <c r="F119" s="145" t="inlineStr">
        <is>
          <t>Confirmed</t>
        </is>
      </c>
      <c r="G119" s="145" t="inlineStr">
        <is>
          <t>Exact match with verified count</t>
        </is>
      </c>
    </row>
    <row r="120" ht="15" customHeight="1" s="91">
      <c r="A120" s="140" t="inlineStr">
        <is>
          <t>Notre Dame Mendoza</t>
        </is>
      </c>
      <c r="B120" s="140" t="inlineStr">
        <is>
          <t>Management &amp; Organization</t>
        </is>
      </c>
      <c r="C120" s="143" t="n">
        <v>12</v>
      </c>
      <c r="D120" s="143" t="n">
        <v>16</v>
      </c>
      <c r="E120" s="169" t="n">
        <v>4</v>
      </c>
      <c r="F120" s="140" t="inlineStr">
        <is>
          <t>Confirmed</t>
        </is>
      </c>
      <c r="G120" s="140" t="inlineStr">
        <is>
          <t>Exact match with verified count</t>
        </is>
      </c>
    </row>
    <row r="121" ht="15" customHeight="1" s="91">
      <c r="A121" s="145" t="inlineStr">
        <is>
          <t>Notre Dame Mendoza</t>
        </is>
      </c>
      <c r="B121" s="145" t="inlineStr">
        <is>
          <t>Marketing</t>
        </is>
      </c>
      <c r="C121" s="144" t="n">
        <v>12</v>
      </c>
      <c r="D121" s="144" t="n">
        <v>14</v>
      </c>
      <c r="E121" s="170" t="n">
        <v>2</v>
      </c>
      <c r="F121" s="145" t="inlineStr">
        <is>
          <t>Confirmed</t>
        </is>
      </c>
      <c r="G121" s="145" t="inlineStr">
        <is>
          <t>Exact match with verified count</t>
        </is>
      </c>
    </row>
    <row r="122" ht="15" customHeight="1" s="91">
      <c r="A122" s="140" t="inlineStr">
        <is>
          <t>Ohio State Fisher</t>
        </is>
      </c>
      <c r="B122" s="140" t="inlineStr">
        <is>
          <t>Finance</t>
        </is>
      </c>
      <c r="C122" s="143" t="n">
        <v>9</v>
      </c>
      <c r="D122" s="143" t="n">
        <v>24</v>
      </c>
      <c r="E122" s="169" t="n">
        <v>15</v>
      </c>
      <c r="F122" s="140" t="inlineStr">
        <is>
          <t>Discrepancy</t>
        </is>
      </c>
      <c r="G122" s="140" t="inlineStr">
        <is>
          <t>File: 10, Verified: 24 (diff: +14). 24 found; claimed 10 appears to be severe undercount</t>
        </is>
      </c>
    </row>
    <row r="123" ht="15" customHeight="1" s="91">
      <c r="A123" s="145" t="inlineStr">
        <is>
          <t>Ohio State Fisher</t>
        </is>
      </c>
      <c r="B123" s="145" t="inlineStr">
        <is>
          <t>Management &amp; Human Resources</t>
        </is>
      </c>
      <c r="C123" s="144" t="n">
        <v>8</v>
      </c>
      <c r="D123" s="144" t="n">
        <v>13</v>
      </c>
      <c r="E123" s="170" t="n">
        <v>5</v>
      </c>
      <c r="F123" s="145" t="inlineStr">
        <is>
          <t>Discrepancy</t>
        </is>
      </c>
      <c r="G123" s="145" t="inlineStr">
        <is>
          <t>File: 7, Verified: 13 (diff: +6). 13 found; claimed 7 appears to be undercount</t>
        </is>
      </c>
    </row>
    <row r="124" ht="15" customHeight="1" s="91">
      <c r="A124" s="140" t="inlineStr">
        <is>
          <t>Ohio State Fisher</t>
        </is>
      </c>
      <c r="B124" s="140" t="inlineStr">
        <is>
          <t>Marketing &amp; Logistics</t>
        </is>
      </c>
      <c r="C124" s="143" t="n">
        <v>8</v>
      </c>
      <c r="D124" s="143" t="n">
        <v>21</v>
      </c>
      <c r="E124" s="169" t="n">
        <v>13</v>
      </c>
      <c r="F124" s="140" t="inlineStr">
        <is>
          <t>Discrepancy</t>
        </is>
      </c>
      <c r="G124" s="140" t="inlineStr">
        <is>
          <t>File: 11, Verified: 21 (diff: +10). 21 found; claimed 11 appears to be undercount</t>
        </is>
      </c>
    </row>
    <row r="125" ht="15" customHeight="1" s="91">
      <c r="A125" s="145" t="inlineStr">
        <is>
          <t>Penn State Smeal</t>
        </is>
      </c>
      <c r="B125" s="145" t="inlineStr">
        <is>
          <t>Accounting</t>
        </is>
      </c>
      <c r="C125" s="144" t="n">
        <v>6</v>
      </c>
      <c r="D125" s="144" t="n">
        <v>15</v>
      </c>
      <c r="E125" s="170" t="n">
        <v>9</v>
      </c>
      <c r="F125" s="145" t="inlineStr">
        <is>
          <t>Discrepancy</t>
        </is>
      </c>
      <c r="G125" s="145" t="inlineStr">
        <is>
          <t>File: 18, Verified: 15 (over by 3). Counted Professor, Associate Professor, Assistant Professor, and</t>
        </is>
      </c>
    </row>
    <row r="126" ht="15" customHeight="1" s="91">
      <c r="A126" s="140" t="inlineStr">
        <is>
          <t>Penn State Smeal</t>
        </is>
      </c>
      <c r="B126" s="140" t="inlineStr">
        <is>
          <t>Finance</t>
        </is>
      </c>
      <c r="C126" s="143" t="n">
        <v>7</v>
      </c>
      <c r="D126" s="143" t="n">
        <v>22</v>
      </c>
      <c r="E126" s="169" t="n">
        <v>15</v>
      </c>
      <c r="F126" s="140" t="inlineStr">
        <is>
          <t>Close (±1-2)</t>
        </is>
      </c>
      <c r="G126" s="140" t="inlineStr">
        <is>
          <t>File: 24, Verified: 22 (over by 2). Counted Professor, Associate Professor, Assistant Professor incl</t>
        </is>
      </c>
    </row>
    <row r="127" ht="15" customHeight="1" s="91">
      <c r="A127" s="145" t="inlineStr">
        <is>
          <t>Penn State Smeal</t>
        </is>
      </c>
      <c r="B127" s="145" t="inlineStr">
        <is>
          <t>Management &amp; Organization</t>
        </is>
      </c>
      <c r="C127" s="144" t="n">
        <v>6</v>
      </c>
      <c r="D127" s="144" t="n">
        <v>16</v>
      </c>
      <c r="E127" s="170" t="n">
        <v>10</v>
      </c>
      <c r="F127" s="145" t="inlineStr">
        <is>
          <t>Discrepancy</t>
        </is>
      </c>
      <c r="G127" s="145" t="inlineStr">
        <is>
          <t>File: 22, Verified: 16 (over by 6). Counted Professor, Associate Professor, Assistant Professor, Dis</t>
        </is>
      </c>
    </row>
    <row r="128" ht="15" customHeight="1" s="91">
      <c r="A128" s="140" t="inlineStr">
        <is>
          <t>Penn State Smeal</t>
        </is>
      </c>
      <c r="B128" s="140" t="inlineStr">
        <is>
          <t>Marketing</t>
        </is>
      </c>
      <c r="C128" s="143" t="n">
        <v>6</v>
      </c>
      <c r="D128" s="143" t="n">
        <v>17</v>
      </c>
      <c r="E128" s="169" t="n">
        <v>11</v>
      </c>
      <c r="F128" s="140" t="inlineStr">
        <is>
          <t>Discrepancy</t>
        </is>
      </c>
      <c r="G128" s="140" t="inlineStr">
        <is>
          <t>File: 23, Verified: 17 (over by 6). Counted TT faculty including Distinguished Research Professor. E</t>
        </is>
      </c>
    </row>
    <row r="129" ht="15" customHeight="1" s="91">
      <c r="A129" s="145" t="inlineStr">
        <is>
          <t>Penn State Smeal</t>
        </is>
      </c>
      <c r="B129" s="145" t="inlineStr">
        <is>
          <t>Risk Management</t>
        </is>
      </c>
      <c r="C129" s="144" t="n">
        <v>6</v>
      </c>
      <c r="D129" s="144" t="n">
        <v>13</v>
      </c>
      <c r="E129" s="170" t="n">
        <v>7</v>
      </c>
      <c r="F129" s="145" t="inlineStr">
        <is>
          <t>Discrepancy</t>
        </is>
      </c>
      <c r="G129" s="145" t="inlineStr">
        <is>
          <t>File: 16, Verified: 13 (over by 3). Counted 13 TT: Chair (Prof), Ambrose (Prof), Crocker (Prof), Gua</t>
        </is>
      </c>
    </row>
    <row r="130" ht="15" customHeight="1" s="91">
      <c r="A130" s="140" t="inlineStr">
        <is>
          <t>Penn State Smeal</t>
        </is>
      </c>
      <c r="B130" s="140" t="inlineStr">
        <is>
          <t>Supply Chain &amp; Information Systems</t>
        </is>
      </c>
      <c r="C130" s="143" t="n">
        <v>6</v>
      </c>
      <c r="D130" s="143" t="n">
        <v>14</v>
      </c>
      <c r="E130" s="169" t="n">
        <v>8</v>
      </c>
      <c r="F130" s="140" t="inlineStr">
        <is>
          <t>Discrepancy</t>
        </is>
      </c>
      <c r="G130" s="140" t="inlineStr">
        <is>
          <t>File: 18, Verified: 14 (over by 4). Many faculty names missing from HTML (shown as email-only rows).</t>
        </is>
      </c>
    </row>
    <row r="131" ht="15" customHeight="1" s="91">
      <c r="A131" s="145" t="inlineStr">
        <is>
          <t>Rice Jones</t>
        </is>
      </c>
      <c r="B131" s="145" t="inlineStr">
        <is>
          <t>Accounting</t>
        </is>
      </c>
      <c r="C131" s="144" t="n">
        <v>6</v>
      </c>
      <c r="D131" s="144" t="n">
        <v>12</v>
      </c>
      <c r="E131" s="170" t="n">
        <v>6</v>
      </c>
      <c r="F131" s="145" t="inlineStr">
        <is>
          <t>Confirmed</t>
        </is>
      </c>
      <c r="G131" s="145" t="inlineStr">
        <is>
          <t>Exact match with verified count</t>
        </is>
      </c>
    </row>
    <row r="132" ht="15" customHeight="1" s="91">
      <c r="A132" s="140" t="inlineStr">
        <is>
          <t>Rice Jones</t>
        </is>
      </c>
      <c r="B132" s="140" t="inlineStr">
        <is>
          <t>Finance</t>
        </is>
      </c>
      <c r="C132" s="143" t="n">
        <v>8</v>
      </c>
      <c r="D132" s="143" t="n">
        <v>19</v>
      </c>
      <c r="E132" s="169" t="n">
        <v>11</v>
      </c>
      <c r="F132" s="140" t="inlineStr">
        <is>
          <t>Confirmed</t>
        </is>
      </c>
      <c r="G132" s="140" t="inlineStr">
        <is>
          <t>Exact match with verified count</t>
        </is>
      </c>
    </row>
    <row r="133" ht="15" customHeight="1" s="91">
      <c r="A133" s="145" t="inlineStr">
        <is>
          <t>Rice Jones</t>
        </is>
      </c>
      <c r="B133" s="145" t="inlineStr">
        <is>
          <t>Marketing</t>
        </is>
      </c>
      <c r="C133" s="144" t="n">
        <v>7</v>
      </c>
      <c r="D133" s="144" t="n">
        <v>11</v>
      </c>
      <c r="E133" s="170" t="n">
        <v>4</v>
      </c>
      <c r="F133" s="145" t="inlineStr">
        <is>
          <t>Confirmed</t>
        </is>
      </c>
      <c r="G133" s="145" t="inlineStr">
        <is>
          <t>Exact match with verified count</t>
        </is>
      </c>
    </row>
    <row r="134" ht="15" customHeight="1" s="91">
      <c r="A134" s="140" t="inlineStr">
        <is>
          <t>Rice Jones</t>
        </is>
      </c>
      <c r="B134" s="140" t="inlineStr">
        <is>
          <t>Operations Management</t>
        </is>
      </c>
      <c r="C134" s="143" t="n">
        <v>7</v>
      </c>
      <c r="D134" s="143" t="n">
        <v>6</v>
      </c>
      <c r="E134" s="171" t="n">
        <v>-1</v>
      </c>
      <c r="F134" s="140" t="inlineStr">
        <is>
          <t>Confirmed</t>
        </is>
      </c>
      <c r="G134" s="140" t="inlineStr">
        <is>
          <t>Exact match with verified count</t>
        </is>
      </c>
    </row>
    <row r="135" ht="15" customHeight="1" s="91">
      <c r="A135" s="145" t="inlineStr">
        <is>
          <t>SMU Cox</t>
        </is>
      </c>
      <c r="B135" s="145" t="inlineStr">
        <is>
          <t>Accounting</t>
        </is>
      </c>
      <c r="C135" s="144" t="n">
        <v>6</v>
      </c>
      <c r="D135" s="144" t="n">
        <v>10</v>
      </c>
      <c r="E135" s="170" t="n">
        <v>4</v>
      </c>
      <c r="F135" s="145" t="inlineStr">
        <is>
          <t>Close (±1-2)</t>
        </is>
      </c>
      <c r="G135" s="145" t="inlineStr">
        <is>
          <t>File: 11, Verified: 10 (over by 1). TT faculty: Gauri Bhat (Assoc Prof), Neil Bhattacharya (Prof), H</t>
        </is>
      </c>
    </row>
    <row r="136" ht="15" customHeight="1" s="91">
      <c r="A136" s="140" t="inlineStr">
        <is>
          <t>SMU Cox</t>
        </is>
      </c>
      <c r="B136" s="140" t="inlineStr">
        <is>
          <t>Finance</t>
        </is>
      </c>
      <c r="C136" s="143" t="n">
        <v>7</v>
      </c>
      <c r="D136" s="143" t="n">
        <v>19</v>
      </c>
      <c r="E136" s="169" t="n">
        <v>12</v>
      </c>
      <c r="F136" s="140" t="inlineStr">
        <is>
          <t>Close (±1-2)</t>
        </is>
      </c>
      <c r="G136" s="140" t="inlineStr">
        <is>
          <t>File: 18, Verified: 19 (under by 1). TT faculty: Nuri Ersahin (Assoc Prof), Amar Gande (Assoc Prof),</t>
        </is>
      </c>
    </row>
    <row r="137" ht="15" customHeight="1" s="91">
      <c r="A137" s="145" t="inlineStr">
        <is>
          <t>SMU Cox</t>
        </is>
      </c>
      <c r="B137" s="145" t="inlineStr">
        <is>
          <t>Information Technology and Operations Management</t>
        </is>
      </c>
      <c r="C137" s="144" t="n">
        <v>6</v>
      </c>
      <c r="D137" s="144" t="n">
        <v>9</v>
      </c>
      <c r="E137" s="170" t="n">
        <v>3</v>
      </c>
      <c r="F137" s="145" t="inlineStr">
        <is>
          <t>Close (±1-2)</t>
        </is>
      </c>
      <c r="G137" s="145" t="inlineStr">
        <is>
          <t>File: 10, Verified: 9 (over by 1). TT faculty: Vishal Ahuja (Assoc Prof), Amit Basu (Prof), Sreekuma</t>
        </is>
      </c>
    </row>
    <row r="138" ht="15" customHeight="1" s="91">
      <c r="A138" s="140" t="inlineStr">
        <is>
          <t>SMU Cox</t>
        </is>
      </c>
      <c r="B138" s="140" t="inlineStr">
        <is>
          <t>Management, Strategy, and Entrepreneurship</t>
        </is>
      </c>
      <c r="C138" s="143" t="n">
        <v>6</v>
      </c>
      <c r="D138" s="143" t="n">
        <v>8</v>
      </c>
      <c r="E138" s="169" t="n">
        <v>2</v>
      </c>
      <c r="F138" s="140" t="inlineStr">
        <is>
          <t>Confirmed</t>
        </is>
      </c>
      <c r="G138" s="140" t="inlineStr">
        <is>
          <t>Exact match. TT faculty: Marcus Butts (Prof), Yunok Cho (Asst Prof), Maribeth Kuenzi (Assoc Prof), D</t>
        </is>
      </c>
    </row>
    <row r="139" ht="15" customHeight="1" s="91">
      <c r="A139" s="145" t="inlineStr">
        <is>
          <t>SMU Cox</t>
        </is>
      </c>
      <c r="B139" s="145" t="inlineStr">
        <is>
          <t>Marketing</t>
        </is>
      </c>
      <c r="C139" s="144" t="n">
        <v>6</v>
      </c>
      <c r="D139" s="144" t="n">
        <v>8</v>
      </c>
      <c r="E139" s="170" t="n">
        <v>2</v>
      </c>
      <c r="F139" s="145" t="inlineStr">
        <is>
          <t>Discrepancy</t>
        </is>
      </c>
      <c r="G139" s="145" t="inlineStr">
        <is>
          <t>File: 11, Verified: 8 (over by 3). TT faculty: Michael Braun (Assoc Prof), Matthew Fisher (Asst Prof</t>
        </is>
      </c>
    </row>
    <row r="140" ht="15" customHeight="1" s="91">
      <c r="A140" s="140" t="inlineStr">
        <is>
          <t>SMU Cox</t>
        </is>
      </c>
      <c r="B140" s="140" t="inlineStr">
        <is>
          <t>Real Estate Risk Mgt Business Law</t>
        </is>
      </c>
      <c r="C140" s="143" t="n">
        <v>6</v>
      </c>
      <c r="D140" s="143" t="n">
        <v>1</v>
      </c>
      <c r="E140" s="171" t="n">
        <v>-5</v>
      </c>
      <c r="F140" s="140" t="inlineStr">
        <is>
          <t>Confirmed</t>
        </is>
      </c>
      <c r="G140" s="140" t="inlineStr">
        <is>
          <t xml:space="preserve">Exact match. TT faculty: Robert Puelz (Assoc Prof, Charles L. Dexter Chair). Excluded: Wally Boudry </t>
        </is>
      </c>
    </row>
    <row r="141" ht="15" customHeight="1" s="91">
      <c r="A141" s="145" t="inlineStr">
        <is>
          <t>Stanford GSB</t>
        </is>
      </c>
      <c r="B141" s="145" t="inlineStr">
        <is>
          <t>Operations, Information &amp; Technology</t>
        </is>
      </c>
      <c r="C141" s="144" t="n">
        <v>11</v>
      </c>
      <c r="D141" s="144" t="n">
        <v>12</v>
      </c>
      <c r="E141" s="170" t="n">
        <v>1</v>
      </c>
      <c r="F141" s="145" t="inlineStr">
        <is>
          <t>Close (±1-2)</t>
        </is>
      </c>
      <c r="G141" s="145" t="inlineStr">
        <is>
          <t>File: 11, Verified: 12 (diff: +1)</t>
        </is>
      </c>
    </row>
    <row r="142" ht="15" customHeight="1" s="91">
      <c r="A142" s="140" t="inlineStr">
        <is>
          <t>Texas A&amp;M Mays</t>
        </is>
      </c>
      <c r="B142" s="140" t="inlineStr">
        <is>
          <t>Accounting</t>
        </is>
      </c>
      <c r="C142" s="143" t="n">
        <v>9</v>
      </c>
      <c r="D142" s="143" t="n">
        <v>28</v>
      </c>
      <c r="E142" s="169" t="n">
        <v>19</v>
      </c>
      <c r="F142" s="140" t="inlineStr">
        <is>
          <t>Discrepancy</t>
        </is>
      </c>
      <c r="G142" s="140" t="inlineStr">
        <is>
          <t>File: 24, Verified: 28 (diff: +4). Plausible; JS-rendered directory not fully parseable</t>
        </is>
      </c>
    </row>
    <row r="143" ht="15" customHeight="1" s="91">
      <c r="A143" s="145" t="inlineStr">
        <is>
          <t>Texas A&amp;M Mays</t>
        </is>
      </c>
      <c r="B143" s="145" t="inlineStr">
        <is>
          <t>Finance</t>
        </is>
      </c>
      <c r="C143" s="144" t="n">
        <v>11</v>
      </c>
      <c r="D143" s="144" t="n">
        <v>24</v>
      </c>
      <c r="E143" s="170" t="n">
        <v>13</v>
      </c>
      <c r="F143" s="145" t="inlineStr">
        <is>
          <t>Close (±1-2)</t>
        </is>
      </c>
      <c r="G143" s="145" t="inlineStr">
        <is>
          <t>File: 22, Verified: 24 (diff: +2)</t>
        </is>
      </c>
    </row>
    <row r="144" ht="15" customHeight="1" s="91">
      <c r="A144" s="140" t="inlineStr">
        <is>
          <t>Texas A&amp;M Mays</t>
        </is>
      </c>
      <c r="B144" s="140" t="inlineStr">
        <is>
          <t>Information &amp; Operations Management</t>
        </is>
      </c>
      <c r="C144" s="143" t="n">
        <v>9</v>
      </c>
      <c r="D144" s="143" t="n">
        <v>23</v>
      </c>
      <c r="E144" s="169" t="n">
        <v>14</v>
      </c>
      <c r="F144" s="140" t="inlineStr">
        <is>
          <t>Discrepancy</t>
        </is>
      </c>
      <c r="G144" s="140" t="inlineStr">
        <is>
          <t xml:space="preserve">File: 16, Verified: 23 (under by 7). MAJOR DISCREPANCY: Claimed 16, verified 23 TT (consistent with </t>
        </is>
      </c>
    </row>
    <row r="145" ht="15" customHeight="1" s="91">
      <c r="A145" s="145" t="inlineStr">
        <is>
          <t>Texas A&amp;M Mays</t>
        </is>
      </c>
      <c r="B145" s="145" t="inlineStr">
        <is>
          <t>Management</t>
        </is>
      </c>
      <c r="C145" s="144" t="n">
        <v>9</v>
      </c>
      <c r="D145" s="144" t="n">
        <v>22</v>
      </c>
      <c r="E145" s="170" t="n">
        <v>13</v>
      </c>
      <c r="F145" s="145" t="inlineStr">
        <is>
          <t>Discrepancy</t>
        </is>
      </c>
      <c r="G145" s="145" t="inlineStr">
        <is>
          <t>File: 19, Verified: 22 (under by 3). Plausible</t>
        </is>
      </c>
    </row>
    <row r="146" ht="15" customHeight="1" s="91">
      <c r="A146" s="140" t="inlineStr">
        <is>
          <t>Texas A&amp;M Mays</t>
        </is>
      </c>
      <c r="B146" s="140" t="inlineStr">
        <is>
          <t>Marketing</t>
        </is>
      </c>
      <c r="C146" s="143" t="n">
        <v>9</v>
      </c>
      <c r="D146" s="143" t="n">
        <v>20</v>
      </c>
      <c r="E146" s="169" t="n">
        <v>11</v>
      </c>
      <c r="F146" s="140" t="inlineStr">
        <is>
          <t>Close (±1-2)</t>
        </is>
      </c>
      <c r="G146" s="140" t="inlineStr">
        <is>
          <t>File: 18, Verified: 20 (diff: +2)</t>
        </is>
      </c>
    </row>
    <row r="147" ht="15" customHeight="1" s="91">
      <c r="A147" s="145" t="inlineStr">
        <is>
          <t>Tulane Freeman</t>
        </is>
      </c>
      <c r="B147" s="145" t="inlineStr">
        <is>
          <t>Accounting</t>
        </is>
      </c>
      <c r="C147" s="144" t="n">
        <v>11</v>
      </c>
      <c r="D147" s="144" t="n">
        <v>9</v>
      </c>
      <c r="E147" s="172" t="n">
        <v>-2</v>
      </c>
      <c r="F147" s="145" t="inlineStr">
        <is>
          <t>Confirmed</t>
        </is>
      </c>
      <c r="G147" s="145" t="inlineStr">
        <is>
          <t>Exact match. TT faculty: Jasmijn Bol, Stephanie Cheng, Sophia Hamm, Deen Kemsley, Jake Krupa, Lisa L</t>
        </is>
      </c>
    </row>
    <row r="148" ht="15" customHeight="1" s="91">
      <c r="A148" s="140" t="inlineStr">
        <is>
          <t>Tulane Freeman</t>
        </is>
      </c>
      <c r="B148" s="140" t="inlineStr">
        <is>
          <t>Finance</t>
        </is>
      </c>
      <c r="C148" s="143" t="n">
        <v>15</v>
      </c>
      <c r="D148" s="143" t="n">
        <v>18</v>
      </c>
      <c r="E148" s="169" t="n">
        <v>3</v>
      </c>
      <c r="F148" s="140" t="inlineStr">
        <is>
          <t>Confirmed</t>
        </is>
      </c>
      <c r="G148" s="140" t="inlineStr">
        <is>
          <t>Exact match. TT faculty: Bhardwaj, Fee, Gredil, Heitz, Kapadia, Kim, Lesmond, Renping Li, Muthukrish</t>
        </is>
      </c>
    </row>
    <row r="149" ht="15" customHeight="1" s="91">
      <c r="A149" s="145" t="inlineStr">
        <is>
          <t>Tulane Freeman</t>
        </is>
      </c>
      <c r="B149" s="145" t="inlineStr">
        <is>
          <t>Management</t>
        </is>
      </c>
      <c r="C149" s="144" t="n">
        <v>12</v>
      </c>
      <c r="D149" s="144" t="n">
        <v>13</v>
      </c>
      <c r="E149" s="170" t="n">
        <v>1</v>
      </c>
      <c r="F149" s="145" t="inlineStr">
        <is>
          <t>Confirmed</t>
        </is>
      </c>
      <c r="G149" s="145" t="inlineStr">
        <is>
          <t>Exact match. TT faculty: Burke, Cioaca, Colella, DeNisi, Higgins, Khanna, King, Longmire, Pillai, Su</t>
        </is>
      </c>
    </row>
    <row r="150" ht="15" customHeight="1" s="91">
      <c r="A150" s="140" t="inlineStr">
        <is>
          <t>Tulane Freeman</t>
        </is>
      </c>
      <c r="B150" s="140" t="inlineStr">
        <is>
          <t>Management Science</t>
        </is>
      </c>
      <c r="C150" s="143" t="n">
        <v>12</v>
      </c>
      <c r="D150" s="143" t="n">
        <v>9</v>
      </c>
      <c r="E150" s="171" t="n">
        <v>-3</v>
      </c>
      <c r="F150" s="140" t="inlineStr">
        <is>
          <t>Confirmed</t>
        </is>
      </c>
      <c r="G150" s="140" t="inlineStr">
        <is>
          <t>Exact match. TT faculty: Eftekhari, Farajbakhsh Mamaghani, He, Ho, Jang, Simin Li, Pan, Sabzehzar, S</t>
        </is>
      </c>
    </row>
    <row r="151" ht="15" customHeight="1" s="91">
      <c r="A151" s="145" t="inlineStr">
        <is>
          <t>Tulane Freeman</t>
        </is>
      </c>
      <c r="B151" s="145" t="inlineStr">
        <is>
          <t>Marketing</t>
        </is>
      </c>
      <c r="C151" s="144" t="n">
        <v>12</v>
      </c>
      <c r="D151" s="144" t="n">
        <v>8</v>
      </c>
      <c r="E151" s="172" t="n">
        <v>-4</v>
      </c>
      <c r="F151" s="145" t="inlineStr">
        <is>
          <t>Confirmed</t>
        </is>
      </c>
      <c r="G151" s="145" t="inlineStr">
        <is>
          <t>Exact match. TT faculty: Herzog, Hydock, Eugina Leung, Zoe Yue Lu, Mochon, Harish Sujan, Mita Sujan,</t>
        </is>
      </c>
    </row>
    <row r="152" ht="15" customHeight="1" s="91">
      <c r="A152" s="140" t="inlineStr">
        <is>
          <t>UCLA Anderson</t>
        </is>
      </c>
      <c r="B152" s="140" t="inlineStr">
        <is>
          <t>Accounting</t>
        </is>
      </c>
      <c r="C152" s="143" t="n">
        <v>4</v>
      </c>
      <c r="D152" s="143" t="n">
        <v>5</v>
      </c>
      <c r="E152" s="169" t="n">
        <v>1</v>
      </c>
      <c r="F152" s="140" t="inlineStr">
        <is>
          <t>Confirmed</t>
        </is>
      </c>
      <c r="G152" s="140" t="inlineStr">
        <is>
          <t>Exact match with verified count</t>
        </is>
      </c>
    </row>
    <row r="153" ht="15" customHeight="1" s="91">
      <c r="A153" s="145" t="inlineStr">
        <is>
          <t>UCLA Anderson</t>
        </is>
      </c>
      <c r="B153" s="145" t="inlineStr">
        <is>
          <t>Decisions, Operations &amp; Technology Management</t>
        </is>
      </c>
      <c r="C153" s="144" t="n">
        <v>5</v>
      </c>
      <c r="D153" s="144" t="n">
        <v>10</v>
      </c>
      <c r="E153" s="170" t="n">
        <v>5</v>
      </c>
      <c r="F153" s="145" t="inlineStr">
        <is>
          <t>Close (±1-2)</t>
        </is>
      </c>
      <c r="G153" s="145" t="inlineStr">
        <is>
          <t>File: 9, Verified: 10 (diff: +1)</t>
        </is>
      </c>
    </row>
    <row r="154" ht="15" customHeight="1" s="91">
      <c r="A154" s="140" t="inlineStr">
        <is>
          <t>UCLA Anderson</t>
        </is>
      </c>
      <c r="B154" s="140" t="inlineStr">
        <is>
          <t>Finance</t>
        </is>
      </c>
      <c r="C154" s="143" t="n">
        <v>5</v>
      </c>
      <c r="D154" s="143" t="n">
        <v>13</v>
      </c>
      <c r="E154" s="169" t="n">
        <v>8</v>
      </c>
      <c r="F154" s="140" t="inlineStr">
        <is>
          <t>Close (±1-2)</t>
        </is>
      </c>
      <c r="G154" s="140" t="inlineStr">
        <is>
          <t>File: 12, Verified: 13 (diff: +1)</t>
        </is>
      </c>
    </row>
    <row r="155" ht="15" customHeight="1" s="91">
      <c r="A155" s="145" t="inlineStr">
        <is>
          <t>UCLA Anderson</t>
        </is>
      </c>
      <c r="B155" s="145" t="inlineStr">
        <is>
          <t>Global Economics &amp; Management</t>
        </is>
      </c>
      <c r="C155" s="144" t="n">
        <v>5</v>
      </c>
      <c r="D155" s="144" t="n">
        <v>4</v>
      </c>
      <c r="E155" s="172" t="n">
        <v>-1</v>
      </c>
      <c r="F155" s="145" t="inlineStr">
        <is>
          <t>Confirmed</t>
        </is>
      </c>
      <c r="G155" s="145" t="inlineStr">
        <is>
          <t>Exact match with verified count</t>
        </is>
      </c>
    </row>
    <row r="156" ht="15" customHeight="1" s="91">
      <c r="A156" s="140" t="inlineStr">
        <is>
          <t>UCLA Anderson</t>
        </is>
      </c>
      <c r="B156" s="140" t="inlineStr">
        <is>
          <t>Marketing</t>
        </is>
      </c>
      <c r="C156" s="143" t="n">
        <v>5</v>
      </c>
      <c r="D156" s="143" t="n">
        <v>14</v>
      </c>
      <c r="E156" s="169" t="n">
        <v>9</v>
      </c>
      <c r="F156" s="140" t="inlineStr">
        <is>
          <t>Confirmed</t>
        </is>
      </c>
      <c r="G156" s="140" t="inlineStr">
        <is>
          <t>Exact match with verified count</t>
        </is>
      </c>
    </row>
    <row r="157" ht="15" customHeight="1" s="91">
      <c r="A157" s="145" t="inlineStr">
        <is>
          <t>UCLA Anderson</t>
        </is>
      </c>
      <c r="B157" s="145" t="inlineStr">
        <is>
          <t>Strategy</t>
        </is>
      </c>
      <c r="C157" s="144" t="n">
        <v>4</v>
      </c>
      <c r="D157" s="144" t="n">
        <v>10</v>
      </c>
      <c r="E157" s="170" t="n">
        <v>6</v>
      </c>
      <c r="F157" s="145" t="inlineStr">
        <is>
          <t>Confirmed</t>
        </is>
      </c>
      <c r="G157" s="145" t="inlineStr">
        <is>
          <t>Exact match with verified count</t>
        </is>
      </c>
    </row>
    <row r="158" ht="15" customHeight="1" s="91">
      <c r="A158" s="140" t="inlineStr">
        <is>
          <t>UF Warrington</t>
        </is>
      </c>
      <c r="B158" s="140" t="inlineStr">
        <is>
          <t>Accounting</t>
        </is>
      </c>
      <c r="C158" s="143" t="n">
        <v>7</v>
      </c>
      <c r="D158" s="143" t="n">
        <v>15</v>
      </c>
      <c r="E158" s="169" t="n">
        <v>8</v>
      </c>
      <c r="F158" s="140" t="inlineStr">
        <is>
          <t>Discrepancy</t>
        </is>
      </c>
      <c r="G158" s="140" t="inlineStr">
        <is>
          <t>File: 10, Verified: 15 (under by 5). TT faculty per grad catalog + 2025 new hires: Professors: Asare</t>
        </is>
      </c>
    </row>
    <row r="159" ht="15" customHeight="1" s="91">
      <c r="A159" s="145" t="inlineStr">
        <is>
          <t>UF Warrington</t>
        </is>
      </c>
      <c r="B159" s="145" t="inlineStr">
        <is>
          <t>Finance, Insurance &amp; Real Estate</t>
        </is>
      </c>
      <c r="C159" s="144" t="n">
        <v>9</v>
      </c>
      <c r="D159" s="144" t="n">
        <v>22</v>
      </c>
      <c r="E159" s="170" t="n">
        <v>13</v>
      </c>
      <c r="F159" s="145" t="inlineStr">
        <is>
          <t>Discrepancy</t>
        </is>
      </c>
      <c r="G159" s="145" t="inlineStr">
        <is>
          <t>File: 7, Verified: 22 (under by 15). TT faculty per grad catalog + 2025 new hires: Professors: Houst</t>
        </is>
      </c>
    </row>
    <row r="160" ht="15" customHeight="1" s="91">
      <c r="A160" s="140" t="inlineStr">
        <is>
          <t>UF Warrington</t>
        </is>
      </c>
      <c r="B160" s="140" t="inlineStr">
        <is>
          <t>Information Systems &amp; Operations Management</t>
        </is>
      </c>
      <c r="C160" s="143" t="n">
        <v>8</v>
      </c>
      <c r="D160" s="143" t="n">
        <v>21</v>
      </c>
      <c r="E160" s="169" t="n">
        <v>13</v>
      </c>
      <c r="F160" s="140" t="inlineStr">
        <is>
          <t>Discrepancy</t>
        </is>
      </c>
      <c r="G160" s="140" t="inlineStr">
        <is>
          <t>File: 15, Verified: 21 (under by 6). TT faculty per grad catalog + 2025 new hire: Professors: Aytug,</t>
        </is>
      </c>
    </row>
    <row r="161" ht="15" customHeight="1" s="91">
      <c r="A161" s="145" t="inlineStr">
        <is>
          <t>UF Warrington</t>
        </is>
      </c>
      <c r="B161" s="145" t="inlineStr">
        <is>
          <t>Management</t>
        </is>
      </c>
      <c r="C161" s="144" t="n">
        <v>7</v>
      </c>
      <c r="D161" s="144" t="n">
        <v>15</v>
      </c>
      <c r="E161" s="170" t="n">
        <v>8</v>
      </c>
      <c r="F161" s="145" t="inlineStr">
        <is>
          <t>Discrepancy</t>
        </is>
      </c>
      <c r="G161" s="145" t="inlineStr">
        <is>
          <t>File: 6, Verified: 15 (under by 9). TT faculty per grad catalog + 2025 new hire: Professors: Bono, D</t>
        </is>
      </c>
    </row>
    <row r="162" ht="15" customHeight="1" s="91">
      <c r="A162" s="140" t="inlineStr">
        <is>
          <t>UF Warrington</t>
        </is>
      </c>
      <c r="B162" s="140" t="inlineStr">
        <is>
          <t>Marketing</t>
        </is>
      </c>
      <c r="C162" s="143" t="n">
        <v>7</v>
      </c>
      <c r="D162" s="143" t="n">
        <v>14</v>
      </c>
      <c r="E162" s="169" t="n">
        <v>7</v>
      </c>
      <c r="F162" s="140" t="inlineStr">
        <is>
          <t>Close (±1-2)</t>
        </is>
      </c>
      <c r="G162" s="140" t="inlineStr">
        <is>
          <t>File: 12, Verified: 14 (under by 2). TT faculty per grad catalog + 2025 new hire: Eminent Scholars/D</t>
        </is>
      </c>
    </row>
    <row r="163" ht="15" customHeight="1" s="91">
      <c r="A163" s="145" t="inlineStr">
        <is>
          <t>UNC Kenan-Flagler</t>
        </is>
      </c>
      <c r="B163" s="145" t="inlineStr">
        <is>
          <t>Accounting</t>
        </is>
      </c>
      <c r="C163" s="144" t="n">
        <v>6</v>
      </c>
      <c r="D163" s="144" t="n">
        <v>16</v>
      </c>
      <c r="E163" s="170" t="n">
        <v>10</v>
      </c>
      <c r="F163" s="145" t="inlineStr">
        <is>
          <t>Discrepancy</t>
        </is>
      </c>
      <c r="G163" s="145" t="inlineStr">
        <is>
          <t>File: 12, Verified: 16 (diff: +4). 16 found per UNC catalog; +4</t>
        </is>
      </c>
    </row>
    <row r="164" ht="15" customHeight="1" s="91">
      <c r="A164" s="140" t="inlineStr">
        <is>
          <t>UNC Kenan-Flagler</t>
        </is>
      </c>
      <c r="B164" s="140" t="inlineStr">
        <is>
          <t>Finance</t>
        </is>
      </c>
      <c r="C164" s="143" t="n">
        <v>8</v>
      </c>
      <c r="D164" s="143" t="n">
        <v>20</v>
      </c>
      <c r="E164" s="169" t="n">
        <v>12</v>
      </c>
      <c r="F164" s="140" t="inlineStr">
        <is>
          <t>Confirmed</t>
        </is>
      </c>
      <c r="G164" s="140" t="inlineStr">
        <is>
          <t>Exact match with verified count</t>
        </is>
      </c>
    </row>
    <row r="165" ht="15" customHeight="1" s="91">
      <c r="A165" s="145" t="inlineStr">
        <is>
          <t>UNC Kenan-Flagler</t>
        </is>
      </c>
      <c r="B165" s="145" t="inlineStr">
        <is>
          <t>Marketing</t>
        </is>
      </c>
      <c r="C165" s="144" t="n">
        <v>7</v>
      </c>
      <c r="D165" s="144" t="n">
        <v>15</v>
      </c>
      <c r="E165" s="170" t="n">
        <v>8</v>
      </c>
      <c r="F165" s="145" t="inlineStr">
        <is>
          <t>Close (±1-2)</t>
        </is>
      </c>
      <c r="G165" s="145" t="inlineStr">
        <is>
          <t>File: 13, Verified: 15 (diff: +2)</t>
        </is>
      </c>
    </row>
    <row r="166" ht="15" customHeight="1" s="91">
      <c r="A166" s="140" t="inlineStr">
        <is>
          <t>UNC Kenan-Flagler</t>
        </is>
      </c>
      <c r="B166" s="140" t="inlineStr">
        <is>
          <t>Operations</t>
        </is>
      </c>
      <c r="C166" s="143" t="n">
        <v>5</v>
      </c>
      <c r="D166" s="143" t="n">
        <v>14</v>
      </c>
      <c r="E166" s="169" t="n">
        <v>9</v>
      </c>
      <c r="F166" s="140" t="inlineStr">
        <is>
          <t>Discrepancy</t>
        </is>
      </c>
      <c r="G166" s="140" t="inlineStr">
        <is>
          <t>File: 11, Verified: 14 (diff: +3). 14 found; +3</t>
        </is>
      </c>
    </row>
    <row r="167" ht="15" customHeight="1" s="91">
      <c r="A167" s="145" t="inlineStr">
        <is>
          <t>UNC Kenan-Flagler</t>
        </is>
      </c>
      <c r="B167" s="145" t="inlineStr">
        <is>
          <t>Organizational Behavior</t>
        </is>
      </c>
      <c r="C167" s="144" t="n">
        <v>6</v>
      </c>
      <c r="D167" s="144" t="n">
        <v>10</v>
      </c>
      <c r="E167" s="170" t="n">
        <v>4</v>
      </c>
      <c r="F167" s="145" t="inlineStr">
        <is>
          <t>Close (±1-2)</t>
        </is>
      </c>
      <c r="G167" s="145" t="inlineStr">
        <is>
          <t>File: 11, Verified: 10 (diff: -1)</t>
        </is>
      </c>
    </row>
    <row r="168" ht="15" customHeight="1" s="91">
      <c r="A168" s="140" t="inlineStr">
        <is>
          <t>UNC Kenan-Flagler</t>
        </is>
      </c>
      <c r="B168" s="140" t="inlineStr">
        <is>
          <t>Strategy and Entrepreneurship</t>
        </is>
      </c>
      <c r="C168" s="143" t="n">
        <v>7</v>
      </c>
      <c r="D168" s="143" t="n">
        <v>13</v>
      </c>
      <c r="E168" s="169" t="n">
        <v>6</v>
      </c>
      <c r="F168" s="140" t="inlineStr">
        <is>
          <t>Close (±1-2)</t>
        </is>
      </c>
      <c r="G168" s="140" t="inlineStr">
        <is>
          <t>File: 14, Verified: 13 (diff: -1)</t>
        </is>
      </c>
    </row>
    <row r="169" ht="15" customHeight="1" s="91">
      <c r="A169" s="145" t="inlineStr">
        <is>
          <t>USC Marshall</t>
        </is>
      </c>
      <c r="B169" s="145" t="inlineStr">
        <is>
          <t>Accounting</t>
        </is>
      </c>
      <c r="C169" s="144" t="n">
        <v>12</v>
      </c>
      <c r="D169" s="144" t="n">
        <v>24</v>
      </c>
      <c r="E169" s="170" t="n">
        <v>12</v>
      </c>
      <c r="F169" s="145" t="inlineStr">
        <is>
          <t>Discrepancy</t>
        </is>
      </c>
      <c r="G169" s="145" t="inlineStr">
        <is>
          <t>File: 21, Verified: 24 (under by 3). From USC Departments Directory: Professors (13 active): Dechow,</t>
        </is>
      </c>
    </row>
    <row r="170" ht="15" customHeight="1" s="91">
      <c r="A170" s="140" t="inlineStr">
        <is>
          <t>USC Marshall</t>
        </is>
      </c>
      <c r="B170" s="140" t="inlineStr">
        <is>
          <t>Data Sciences &amp; Operations</t>
        </is>
      </c>
      <c r="C170" s="143" t="n">
        <v>11</v>
      </c>
      <c r="D170" s="143" t="n">
        <v>26</v>
      </c>
      <c r="E170" s="169" t="n">
        <v>15</v>
      </c>
      <c r="F170" s="140" t="inlineStr">
        <is>
          <t>Discrepancy</t>
        </is>
      </c>
      <c r="G170" s="140" t="inlineStr">
        <is>
          <t>File: 31, Verified: 26 (over by 5). From USC Departments Directory: Professors (9): Bien, Dasu, El S</t>
        </is>
      </c>
    </row>
    <row r="171" ht="15" customHeight="1" s="91">
      <c r="A171" s="145" t="inlineStr">
        <is>
          <t>USC Marshall</t>
        </is>
      </c>
      <c r="B171" s="145" t="inlineStr">
        <is>
          <t>Finance &amp; Business Economics</t>
        </is>
      </c>
      <c r="C171" s="144" t="n">
        <v>15</v>
      </c>
      <c r="D171" s="144" t="n">
        <v>40</v>
      </c>
      <c r="E171" s="170" t="n">
        <v>25</v>
      </c>
      <c r="F171" s="145" t="inlineStr">
        <is>
          <t>Close (±1-2)</t>
        </is>
      </c>
      <c r="G171" s="145" t="inlineStr">
        <is>
          <t>File: 38, Verified: 40 (under by 2). From USC Departments Directory: Professors (14): DeAngelo H, Ha</t>
        </is>
      </c>
    </row>
    <row r="172" ht="15" customHeight="1" s="91">
      <c r="A172" s="140" t="inlineStr">
        <is>
          <t>USC Marshall</t>
        </is>
      </c>
      <c r="B172" s="140" t="inlineStr">
        <is>
          <t>Management &amp; Organization</t>
        </is>
      </c>
      <c r="C172" s="143" t="n">
        <v>12</v>
      </c>
      <c r="D172" s="143" t="n">
        <v>27</v>
      </c>
      <c r="E172" s="169" t="n">
        <v>15</v>
      </c>
      <c r="F172" s="140" t="inlineStr">
        <is>
          <t>Discrepancy</t>
        </is>
      </c>
      <c r="G172" s="140" t="inlineStr">
        <is>
          <t>File: 21, Verified: 27 (under by 6). From USC Departments Directory: Professors (12): Adler, Carneva</t>
        </is>
      </c>
    </row>
    <row r="173" ht="15" customHeight="1" s="91">
      <c r="A173" s="145" t="inlineStr">
        <is>
          <t>USC Marshall</t>
        </is>
      </c>
      <c r="B173" s="145" t="inlineStr">
        <is>
          <t>Marketing</t>
        </is>
      </c>
      <c r="C173" s="144" t="n">
        <v>13</v>
      </c>
      <c r="D173" s="144" t="n">
        <v>27</v>
      </c>
      <c r="E173" s="170" t="n">
        <v>14</v>
      </c>
      <c r="F173" s="145" t="inlineStr">
        <is>
          <t>Discrepancy</t>
        </is>
      </c>
      <c r="G173" s="145" t="inlineStr">
        <is>
          <t xml:space="preserve">File: 23, Verified: 27 (under by 4). From USC Departments Directory: Professors (14): Diehl, Dukes, </t>
        </is>
      </c>
    </row>
    <row r="174" ht="15" customHeight="1" s="91">
      <c r="A174" s="140" t="inlineStr">
        <is>
          <t>UT McCombs</t>
        </is>
      </c>
      <c r="B174" s="140" t="inlineStr">
        <is>
          <t>Accounting</t>
        </is>
      </c>
      <c r="C174" s="143" t="n">
        <v>11</v>
      </c>
      <c r="D174" s="143" t="n">
        <v>23</v>
      </c>
      <c r="E174" s="169" t="n">
        <v>12</v>
      </c>
      <c r="F174" s="140" t="inlineStr">
        <is>
          <t>Close (±1-2)</t>
        </is>
      </c>
      <c r="G174" s="140" t="inlineStr">
        <is>
          <t>File: 22, Verified: 23 (diff: +1)</t>
        </is>
      </c>
    </row>
    <row r="175" ht="15" customHeight="1" s="91">
      <c r="A175" s="145" t="inlineStr">
        <is>
          <t>UT McCombs</t>
        </is>
      </c>
      <c r="B175" s="145" t="inlineStr">
        <is>
          <t>Finance</t>
        </is>
      </c>
      <c r="C175" s="144" t="n">
        <v>14</v>
      </c>
      <c r="D175" s="144" t="n">
        <v>30</v>
      </c>
      <c r="E175" s="170" t="n">
        <v>16</v>
      </c>
      <c r="F175" s="145" t="inlineStr">
        <is>
          <t>Close (±1-2)</t>
        </is>
      </c>
      <c r="G175" s="145" t="inlineStr">
        <is>
          <t>File: 28, Verified: 30 (diff: +2)</t>
        </is>
      </c>
    </row>
    <row r="176" ht="15" customHeight="1" s="91">
      <c r="A176" s="140" t="inlineStr">
        <is>
          <t>UT McCombs</t>
        </is>
      </c>
      <c r="B176" s="140" t="inlineStr">
        <is>
          <t>Information, Risk &amp; Operations Management</t>
        </is>
      </c>
      <c r="C176" s="143" t="n">
        <v>12</v>
      </c>
      <c r="D176" s="143" t="n">
        <v>37</v>
      </c>
      <c r="E176" s="169" t="n">
        <v>25</v>
      </c>
      <c r="F176" s="140" t="inlineStr">
        <is>
          <t>Confirmed</t>
        </is>
      </c>
      <c r="G176" s="140" t="inlineStr">
        <is>
          <t>Exact match with verified count</t>
        </is>
      </c>
    </row>
    <row r="177" ht="15" customHeight="1" s="91">
      <c r="A177" s="145" t="inlineStr">
        <is>
          <t>UT McCombs</t>
        </is>
      </c>
      <c r="B177" s="145" t="inlineStr">
        <is>
          <t>Management</t>
        </is>
      </c>
      <c r="C177" s="144" t="n">
        <v>12</v>
      </c>
      <c r="D177" s="144" t="n">
        <v>25</v>
      </c>
      <c r="E177" s="170" t="n">
        <v>13</v>
      </c>
      <c r="F177" s="145" t="inlineStr">
        <is>
          <t>Discrepancy</t>
        </is>
      </c>
      <c r="G177" s="145" t="inlineStr">
        <is>
          <t>File: 20, Verified: 25 (diff: +5). 25 found; +5</t>
        </is>
      </c>
    </row>
    <row r="178" ht="15" customHeight="1" s="91">
      <c r="A178" s="140" t="inlineStr">
        <is>
          <t>UT McCombs</t>
        </is>
      </c>
      <c r="B178" s="140" t="inlineStr">
        <is>
          <t>Marketing</t>
        </is>
      </c>
      <c r="C178" s="143" t="n">
        <v>12</v>
      </c>
      <c r="D178" s="143" t="n">
        <v>22</v>
      </c>
      <c r="E178" s="169" t="n">
        <v>10</v>
      </c>
      <c r="F178" s="140" t="inlineStr">
        <is>
          <t>Close (±1-2)</t>
        </is>
      </c>
      <c r="G178" s="140" t="inlineStr">
        <is>
          <t>File: 21, Verified: 22 (diff: +1)</t>
        </is>
      </c>
    </row>
    <row r="179" ht="15" customHeight="1" s="91">
      <c r="A179" s="145" t="inlineStr">
        <is>
          <t>UVA Darden</t>
        </is>
      </c>
      <c r="B179" s="145" t="inlineStr">
        <is>
          <t>Accounting</t>
        </is>
      </c>
      <c r="C179" s="144" t="n">
        <v>8</v>
      </c>
      <c r="D179" s="144" t="n">
        <v>7</v>
      </c>
      <c r="E179" s="172" t="n">
        <v>-1</v>
      </c>
      <c r="F179" s="145" t="inlineStr">
        <is>
          <t>Confirmed</t>
        </is>
      </c>
      <c r="G179" s="145" t="inlineStr">
        <is>
          <t>Exact match with verified count</t>
        </is>
      </c>
    </row>
    <row r="180" ht="15" customHeight="1" s="91">
      <c r="A180" s="140" t="inlineStr">
        <is>
          <t>UVA Darden</t>
        </is>
      </c>
      <c r="B180" s="140" t="inlineStr">
        <is>
          <t>Data Analytics and Decision Sciences</t>
        </is>
      </c>
      <c r="C180" s="143" t="n">
        <v>8</v>
      </c>
      <c r="D180" s="143" t="n">
        <v>10</v>
      </c>
      <c r="E180" s="169" t="n">
        <v>2</v>
      </c>
      <c r="F180" s="140" t="inlineStr">
        <is>
          <t>Close (±1-2)</t>
        </is>
      </c>
      <c r="G180" s="140" t="inlineStr">
        <is>
          <t>File: 11, Verified: 10 (diff: -1)</t>
        </is>
      </c>
    </row>
    <row r="181" ht="15" customHeight="1" s="91">
      <c r="A181" s="145" t="inlineStr">
        <is>
          <t>UVA Darden</t>
        </is>
      </c>
      <c r="B181" s="145" t="inlineStr">
        <is>
          <t>Global Economies and Markets</t>
        </is>
      </c>
      <c r="C181" s="144" t="n">
        <v>8</v>
      </c>
      <c r="D181" s="144" t="n">
        <v>9</v>
      </c>
      <c r="E181" s="170" t="n">
        <v>1</v>
      </c>
      <c r="F181" s="145" t="inlineStr">
        <is>
          <t>Close (±1-2)</t>
        </is>
      </c>
      <c r="G181" s="145" t="inlineStr">
        <is>
          <t>File: 10, Verified: 9 (diff: -1)</t>
        </is>
      </c>
    </row>
    <row r="182" ht="15" customHeight="1" s="91">
      <c r="A182" s="140" t="inlineStr">
        <is>
          <t>UVA Darden</t>
        </is>
      </c>
      <c r="B182" s="140" t="inlineStr">
        <is>
          <t>Leadership and Organizational Behavior</t>
        </is>
      </c>
      <c r="C182" s="143" t="n">
        <v>8</v>
      </c>
      <c r="D182" s="143" t="n">
        <v>11</v>
      </c>
      <c r="E182" s="169" t="n">
        <v>3</v>
      </c>
      <c r="F182" s="140" t="inlineStr">
        <is>
          <t>Close (±1-2)</t>
        </is>
      </c>
      <c r="G182" s="140" t="inlineStr">
        <is>
          <t>File: 12, Verified: 11 (diff: -1)</t>
        </is>
      </c>
    </row>
    <row r="183" ht="15" customHeight="1" s="91">
      <c r="A183" s="145" t="inlineStr">
        <is>
          <t>UVA Darden</t>
        </is>
      </c>
      <c r="B183" s="145" t="inlineStr">
        <is>
          <t>Strategy, Ethics &amp; Entrepreneurship</t>
        </is>
      </c>
      <c r="C183" s="144" t="n">
        <v>9</v>
      </c>
      <c r="D183" s="144" t="n">
        <v>16</v>
      </c>
      <c r="E183" s="170" t="n">
        <v>7</v>
      </c>
      <c r="F183" s="145" t="inlineStr">
        <is>
          <t>Confirmed</t>
        </is>
      </c>
      <c r="G183" s="145" t="inlineStr">
        <is>
          <t>Exact match with verified count</t>
        </is>
      </c>
    </row>
    <row r="184" ht="15" customHeight="1" s="91">
      <c r="A184" s="140" t="inlineStr">
        <is>
          <t>UVA Darden</t>
        </is>
      </c>
      <c r="B184" s="140" t="inlineStr">
        <is>
          <t>Technology and Operations Management</t>
        </is>
      </c>
      <c r="C184" s="143" t="n">
        <v>9</v>
      </c>
      <c r="D184" s="143" t="n">
        <v>6</v>
      </c>
      <c r="E184" s="171" t="n">
        <v>-3</v>
      </c>
      <c r="F184" s="140" t="inlineStr">
        <is>
          <t>Close (±1-2)</t>
        </is>
      </c>
      <c r="G184" s="140" t="inlineStr">
        <is>
          <t>File: 7, Verified: 6 (diff: -1)</t>
        </is>
      </c>
    </row>
    <row r="185" ht="15" customHeight="1" s="91">
      <c r="A185" s="145" t="inlineStr">
        <is>
          <t>UW Foster</t>
        </is>
      </c>
      <c r="B185" s="145" t="inlineStr">
        <is>
          <t>Accounting</t>
        </is>
      </c>
      <c r="C185" s="144" t="n">
        <v>9</v>
      </c>
      <c r="D185" s="144" t="n">
        <v>18</v>
      </c>
      <c r="E185" s="170" t="n">
        <v>9</v>
      </c>
      <c r="F185" s="145" t="inlineStr">
        <is>
          <t>Confirmed</t>
        </is>
      </c>
      <c r="G185" s="145" t="inlineStr">
        <is>
          <t>Exact match. Verified 18 TT faculty: Bernard, Blankespoor, Burgstahler, Curtis, deHaan, Gale, Ge, Gr</t>
        </is>
      </c>
    </row>
    <row r="186" ht="15" customHeight="1" s="91">
      <c r="A186" s="140" t="inlineStr">
        <is>
          <t>UW Foster</t>
        </is>
      </c>
      <c r="B186" s="140" t="inlineStr">
        <is>
          <t>Finance and Business Economics</t>
        </is>
      </c>
      <c r="C186" s="143" t="n">
        <v>11</v>
      </c>
      <c r="D186" s="143" t="n">
        <v>18</v>
      </c>
      <c r="E186" s="169" t="n">
        <v>7</v>
      </c>
      <c r="F186" s="140" t="inlineStr">
        <is>
          <t>Close (±1-2)</t>
        </is>
      </c>
      <c r="G186" s="140" t="inlineStr">
        <is>
          <t>File: 17, Verified: 18 (under by 1). Counted 18 TT: Bond, Gilbert, Guecioueur, Gutierrez, Harford, H</t>
        </is>
      </c>
    </row>
    <row r="187" ht="15" customHeight="1" s="91">
      <c r="A187" s="145" t="inlineStr">
        <is>
          <t>UW Foster</t>
        </is>
      </c>
      <c r="B187" s="145" t="inlineStr">
        <is>
          <t>Information Systems</t>
        </is>
      </c>
      <c r="C187" s="144" t="n">
        <v>10</v>
      </c>
      <c r="D187" s="144" t="n">
        <v>9</v>
      </c>
      <c r="E187" s="172" t="n">
        <v>-1</v>
      </c>
      <c r="F187" s="145" t="inlineStr">
        <is>
          <t>Confirmed</t>
        </is>
      </c>
      <c r="G187" s="145" t="inlineStr">
        <is>
          <t xml:space="preserve">Exact match. Counted 9 TT: Ananthakrishnan, Boussioux, W. Chen, Hwang, Lee, Singh, Y. Tan, Y. Wang, </t>
        </is>
      </c>
    </row>
    <row r="188" ht="15" customHeight="1" s="91">
      <c r="A188" s="140" t="inlineStr">
        <is>
          <t>UW Foster</t>
        </is>
      </c>
      <c r="B188" s="140" t="inlineStr">
        <is>
          <t>Management and Organization</t>
        </is>
      </c>
      <c r="C188" s="143" t="n">
        <v>9</v>
      </c>
      <c r="D188" s="143" t="n">
        <v>20</v>
      </c>
      <c r="E188" s="169" t="n">
        <v>11</v>
      </c>
      <c r="F188" s="140" t="inlineStr">
        <is>
          <t>Close (±1-2)</t>
        </is>
      </c>
      <c r="G188" s="140" t="inlineStr">
        <is>
          <t>File: 21, Verified: 20 (over by 1). Counted 20 TT (excluding Reynolds who is Business Ethics): Avoli</t>
        </is>
      </c>
    </row>
    <row r="189" ht="15" customHeight="1" s="91">
      <c r="A189" s="145" t="inlineStr">
        <is>
          <t>UW Foster</t>
        </is>
      </c>
      <c r="B189" s="145" t="inlineStr">
        <is>
          <t>Marketing</t>
        </is>
      </c>
      <c r="C189" s="144" t="n">
        <v>9</v>
      </c>
      <c r="D189" s="144" t="n">
        <v>17</v>
      </c>
      <c r="E189" s="170" t="n">
        <v>8</v>
      </c>
      <c r="F189" s="145" t="inlineStr">
        <is>
          <t>Confirmed</t>
        </is>
      </c>
      <c r="G189" s="145" t="inlineStr">
        <is>
          <t>Exact match. Counted 17 TT: Agrawal, Biswas, Forehand, S.P. Jain, L. Jain, Kleiman-Weiner, Mizik, Ro</t>
        </is>
      </c>
    </row>
    <row r="190" ht="15" customHeight="1" s="91">
      <c r="A190" s="140" t="inlineStr">
        <is>
          <t>UW Foster</t>
        </is>
      </c>
      <c r="B190" s="140" t="inlineStr">
        <is>
          <t>Operations Management</t>
        </is>
      </c>
      <c r="C190" s="143" t="n">
        <v>10</v>
      </c>
      <c r="D190" s="143" t="n">
        <v>8</v>
      </c>
      <c r="E190" s="171" t="n">
        <v>-2</v>
      </c>
      <c r="F190" s="140" t="inlineStr">
        <is>
          <t>Confirmed</t>
        </is>
      </c>
      <c r="G190" s="140" t="inlineStr">
        <is>
          <t>Exact match. Counted 8 TT: S. Chen, A. Jain, Mamani, Moinzadeh, Nageswaran, Shunko, Wagner, Zhou. Ma</t>
        </is>
      </c>
    </row>
    <row r="191" ht="15" customHeight="1" s="91">
      <c r="A191" s="145" t="inlineStr">
        <is>
          <t>Vanderbilt Owen</t>
        </is>
      </c>
      <c r="B191" s="145" t="inlineStr">
        <is>
          <t>Finance</t>
        </is>
      </c>
      <c r="C191" s="144" t="n">
        <v>5</v>
      </c>
      <c r="D191" s="144" t="n">
        <v>10</v>
      </c>
      <c r="E191" s="170" t="n">
        <v>5</v>
      </c>
      <c r="F191" s="145" t="inlineStr">
        <is>
          <t>Confirmed</t>
        </is>
      </c>
      <c r="G191" s="145" t="inlineStr">
        <is>
          <t>Exact match with verified count</t>
        </is>
      </c>
    </row>
    <row r="192" ht="15" customHeight="1" s="91">
      <c r="A192" s="140" t="inlineStr">
        <is>
          <t>Vanderbilt Owen</t>
        </is>
      </c>
      <c r="B192" s="140" t="inlineStr">
        <is>
          <t>Management</t>
        </is>
      </c>
      <c r="C192" s="143" t="n">
        <v>5</v>
      </c>
      <c r="D192" s="143" t="n">
        <v>12</v>
      </c>
      <c r="E192" s="169" t="n">
        <v>7</v>
      </c>
      <c r="F192" s="140" t="inlineStr">
        <is>
          <t>Close (±1-2)</t>
        </is>
      </c>
      <c r="G192" s="140" t="inlineStr">
        <is>
          <t>File: 14, Verified: 12 (diff: -2)</t>
        </is>
      </c>
    </row>
    <row r="193" ht="15" customHeight="1" s="91">
      <c r="A193" s="145" t="inlineStr">
        <is>
          <t>Vanderbilt Owen</t>
        </is>
      </c>
      <c r="B193" s="145" t="inlineStr">
        <is>
          <t>Marketing</t>
        </is>
      </c>
      <c r="C193" s="144" t="n">
        <v>5</v>
      </c>
      <c r="D193" s="144" t="n">
        <v>8</v>
      </c>
      <c r="E193" s="170" t="n">
        <v>3</v>
      </c>
      <c r="F193" s="145" t="inlineStr">
        <is>
          <t>Close (±1-2)</t>
        </is>
      </c>
      <c r="G193" s="145" t="inlineStr">
        <is>
          <t>File: 10, Verified: 8 (diff: -2)</t>
        </is>
      </c>
    </row>
    <row r="194" ht="15" customHeight="1" s="91">
      <c r="A194" s="140" t="inlineStr">
        <is>
          <t>Vanderbilt Owen</t>
        </is>
      </c>
      <c r="B194" s="140" t="inlineStr">
        <is>
          <t>Operations Management</t>
        </is>
      </c>
      <c r="C194" s="143" t="n">
        <v>5</v>
      </c>
      <c r="D194" s="143" t="n">
        <v>7</v>
      </c>
      <c r="E194" s="169" t="n">
        <v>2</v>
      </c>
      <c r="F194" s="140" t="inlineStr">
        <is>
          <t>Close (±1-2)</t>
        </is>
      </c>
      <c r="G194" s="140" t="inlineStr">
        <is>
          <t>File: 8, Verified: 7 (diff: -1)</t>
        </is>
      </c>
    </row>
    <row r="195" ht="15" customHeight="1" s="91">
      <c r="A195" s="145" t="inlineStr">
        <is>
          <t>WashU Olin</t>
        </is>
      </c>
      <c r="B195" s="145" t="inlineStr">
        <is>
          <t>Accounting</t>
        </is>
      </c>
      <c r="C195" s="144" t="n">
        <v>8</v>
      </c>
      <c r="D195" s="144" t="n">
        <v>9</v>
      </c>
      <c r="E195" s="170" t="n">
        <v>1</v>
      </c>
      <c r="F195" s="145" t="inlineStr">
        <is>
          <t>Discrepancy</t>
        </is>
      </c>
      <c r="G195" s="145" t="inlineStr">
        <is>
          <t>File: 6, Verified: 9 (diff: +3). 9 found; +3</t>
        </is>
      </c>
    </row>
    <row r="196" ht="15" customHeight="1" s="91">
      <c r="A196" s="140" t="inlineStr">
        <is>
          <t>WashU Olin</t>
        </is>
      </c>
      <c r="B196" s="140" t="inlineStr">
        <is>
          <t>Finance</t>
        </is>
      </c>
      <c r="C196" s="143" t="n">
        <v>11</v>
      </c>
      <c r="D196" s="143" t="n">
        <v>20</v>
      </c>
      <c r="E196" s="169" t="n">
        <v>9</v>
      </c>
      <c r="F196" s="140" t="inlineStr">
        <is>
          <t>Discrepancy</t>
        </is>
      </c>
      <c r="G196" s="140" t="inlineStr">
        <is>
          <t>File: 9, Verified: 20 (diff: +11). 20 found; claimed 9 appears to be severe undercount</t>
        </is>
      </c>
    </row>
    <row r="197" ht="15" customHeight="1" s="91">
      <c r="A197" s="145" t="inlineStr">
        <is>
          <t>WashU Olin</t>
        </is>
      </c>
      <c r="B197" s="145" t="inlineStr">
        <is>
          <t>Marketing</t>
        </is>
      </c>
      <c r="C197" s="144" t="n">
        <v>9</v>
      </c>
      <c r="D197" s="144" t="n">
        <v>17</v>
      </c>
      <c r="E197" s="170" t="n">
        <v>8</v>
      </c>
      <c r="F197" s="145" t="inlineStr">
        <is>
          <t>Discrepancy</t>
        </is>
      </c>
      <c r="G197" s="145" t="inlineStr">
        <is>
          <t>File: 7, Verified: 17 (diff: +10). 17 found; claimed 7 appears to be severe undercount</t>
        </is>
      </c>
    </row>
    <row r="198" ht="15" customHeight="1" s="91">
      <c r="A198" s="140" t="inlineStr">
        <is>
          <t>WashU Olin</t>
        </is>
      </c>
      <c r="B198" s="140" t="inlineStr">
        <is>
          <t>Operations &amp; Supply Chain Management</t>
        </is>
      </c>
      <c r="C198" s="143" t="n">
        <v>8</v>
      </c>
      <c r="D198" s="143" t="n">
        <v>9</v>
      </c>
      <c r="E198" s="169" t="n">
        <v>1</v>
      </c>
      <c r="F198" s="140" t="inlineStr">
        <is>
          <t>Close (±1-2)</t>
        </is>
      </c>
      <c r="G198" s="140" t="inlineStr">
        <is>
          <t>File: 7, Verified: 9 (diff: +2)</t>
        </is>
      </c>
    </row>
    <row r="199" ht="15" customHeight="1" s="91">
      <c r="A199" s="145" t="inlineStr">
        <is>
          <t>WashU Olin</t>
        </is>
      </c>
      <c r="B199" s="145" t="inlineStr">
        <is>
          <t>Strategy</t>
        </is>
      </c>
      <c r="C199" s="144" t="n">
        <v>9</v>
      </c>
      <c r="D199" s="144" t="n">
        <v>10</v>
      </c>
      <c r="E199" s="170" t="n">
        <v>1</v>
      </c>
      <c r="F199" s="145" t="inlineStr">
        <is>
          <t>Discrepancy</t>
        </is>
      </c>
      <c r="G199" s="145" t="inlineStr">
        <is>
          <t>File: 7, Verified: 10 (diff: +3). 10 found; +3</t>
        </is>
      </c>
    </row>
    <row r="200" ht="15" customHeight="1" s="91">
      <c r="A200" s="140" t="inlineStr">
        <is>
          <t>Wharton</t>
        </is>
      </c>
      <c r="B200" s="140" t="inlineStr">
        <is>
          <t>Accounting</t>
        </is>
      </c>
      <c r="C200" s="143" t="n">
        <v>30</v>
      </c>
      <c r="D200" s="143" t="n">
        <v>20</v>
      </c>
      <c r="E200" s="171" t="n">
        <v>-10</v>
      </c>
      <c r="F200" s="140" t="inlineStr">
        <is>
          <t>Confirmed</t>
        </is>
      </c>
      <c r="G200" s="140" t="inlineStr">
        <is>
          <t>Exact match with verified count</t>
        </is>
      </c>
    </row>
    <row r="201" ht="15" customHeight="1" s="91">
      <c r="A201" s="145" t="inlineStr">
        <is>
          <t>Wharton</t>
        </is>
      </c>
      <c r="B201" s="145" t="inlineStr">
        <is>
          <t>Business Economics &amp; Public Policy</t>
        </is>
      </c>
      <c r="C201" s="144" t="n">
        <v>22</v>
      </c>
      <c r="D201" s="144" t="n">
        <v>19</v>
      </c>
      <c r="E201" s="172" t="n">
        <v>-3</v>
      </c>
      <c r="F201" s="145" t="inlineStr">
        <is>
          <t>Confirmed</t>
        </is>
      </c>
      <c r="G201" s="145" t="inlineStr">
        <is>
          <t>Exact match with verified count</t>
        </is>
      </c>
    </row>
    <row r="202" ht="15" customHeight="1" s="91">
      <c r="A202" s="140" t="inlineStr">
        <is>
          <t>Wharton</t>
        </is>
      </c>
      <c r="B202" s="140" t="inlineStr">
        <is>
          <t>Finance</t>
        </is>
      </c>
      <c r="C202" s="143" t="n">
        <v>35</v>
      </c>
      <c r="D202" s="143" t="n">
        <v>39</v>
      </c>
      <c r="E202" s="169" t="n">
        <v>4</v>
      </c>
      <c r="F202" s="140" t="inlineStr">
        <is>
          <t>Confirmed</t>
        </is>
      </c>
      <c r="G202" s="140" t="inlineStr">
        <is>
          <t>Exact match with verified count</t>
        </is>
      </c>
    </row>
    <row r="203" ht="15" customHeight="1" s="91">
      <c r="A203" s="145" t="inlineStr">
        <is>
          <t>Wharton</t>
        </is>
      </c>
      <c r="B203" s="145" t="inlineStr">
        <is>
          <t>Health Care Management</t>
        </is>
      </c>
      <c r="C203" s="144" t="n">
        <v>25</v>
      </c>
      <c r="D203" s="144" t="n">
        <v>10</v>
      </c>
      <c r="E203" s="172" t="n">
        <v>-15</v>
      </c>
      <c r="F203" s="145" t="inlineStr">
        <is>
          <t>Confirmed</t>
        </is>
      </c>
      <c r="G203" s="145" t="inlineStr">
        <is>
          <t>Exact match with verified count</t>
        </is>
      </c>
    </row>
    <row r="204" ht="15" customHeight="1" s="91">
      <c r="A204" s="140" t="inlineStr">
        <is>
          <t>Wharton</t>
        </is>
      </c>
      <c r="B204" s="140" t="inlineStr">
        <is>
          <t>Legal Studies &amp; Business Ethics</t>
        </is>
      </c>
      <c r="C204" s="143" t="n">
        <v>18</v>
      </c>
      <c r="D204" s="143" t="n">
        <v>20</v>
      </c>
      <c r="E204" s="169" t="n">
        <v>2</v>
      </c>
      <c r="F204" s="140" t="inlineStr">
        <is>
          <t>Close (±1-2)</t>
        </is>
      </c>
      <c r="G204" s="140" t="inlineStr">
        <is>
          <t>File: 21, Verified: 20 (diff: -1)</t>
        </is>
      </c>
    </row>
    <row r="205" ht="15" customHeight="1" s="91">
      <c r="A205" s="145" t="inlineStr">
        <is>
          <t>Wharton</t>
        </is>
      </c>
      <c r="B205" s="145" t="inlineStr">
        <is>
          <t>Management</t>
        </is>
      </c>
      <c r="C205" s="144" t="n">
        <v>28</v>
      </c>
      <c r="D205" s="144" t="n">
        <v>47</v>
      </c>
      <c r="E205" s="170" t="n">
        <v>19</v>
      </c>
      <c r="F205" s="145" t="inlineStr">
        <is>
          <t>Confirmed</t>
        </is>
      </c>
      <c r="G205" s="145" t="inlineStr">
        <is>
          <t>Exact match with verified count</t>
        </is>
      </c>
    </row>
    <row r="206" ht="15" customHeight="1" s="91">
      <c r="A206" s="140" t="inlineStr">
        <is>
          <t>Wharton</t>
        </is>
      </c>
      <c r="B206" s="140" t="inlineStr">
        <is>
          <t>Marketing</t>
        </is>
      </c>
      <c r="C206" s="143" t="n">
        <v>25</v>
      </c>
      <c r="D206" s="143" t="n">
        <v>27</v>
      </c>
      <c r="E206" s="169" t="n">
        <v>2</v>
      </c>
      <c r="F206" s="140" t="inlineStr">
        <is>
          <t>Confirmed</t>
        </is>
      </c>
      <c r="G206" s="140" t="inlineStr">
        <is>
          <t>Exact match with verified count</t>
        </is>
      </c>
    </row>
    <row r="207" ht="15" customHeight="1" s="91">
      <c r="A207" s="145" t="inlineStr">
        <is>
          <t>Wharton</t>
        </is>
      </c>
      <c r="B207" s="145" t="inlineStr">
        <is>
          <t>Operations, Information &amp; Decisions</t>
        </is>
      </c>
      <c r="C207" s="144" t="n">
        <v>24</v>
      </c>
      <c r="D207" s="144" t="n">
        <v>30</v>
      </c>
      <c r="E207" s="170" t="n">
        <v>6</v>
      </c>
      <c r="F207" s="145" t="inlineStr">
        <is>
          <t>Confirmed</t>
        </is>
      </c>
      <c r="G207" s="145" t="inlineStr">
        <is>
          <t>Exact match with verified count</t>
        </is>
      </c>
    </row>
    <row r="208" ht="15" customHeight="1" s="91">
      <c r="A208" s="140" t="inlineStr">
        <is>
          <t>Wharton</t>
        </is>
      </c>
      <c r="B208" s="140" t="inlineStr">
        <is>
          <t>Real Estate</t>
        </is>
      </c>
      <c r="C208" s="143" t="n">
        <v>14</v>
      </c>
      <c r="D208" s="143" t="n">
        <v>10</v>
      </c>
      <c r="E208" s="171" t="n">
        <v>-4</v>
      </c>
      <c r="F208" s="140" t="inlineStr">
        <is>
          <t>Confirmed</t>
        </is>
      </c>
      <c r="G208" s="140" t="inlineStr">
        <is>
          <t>Exact match with verified count</t>
        </is>
      </c>
    </row>
    <row r="209" ht="15" customHeight="1" s="91">
      <c r="A209" s="145" t="inlineStr">
        <is>
          <t>Wharton</t>
        </is>
      </c>
      <c r="B209" s="145" t="inlineStr">
        <is>
          <t>Statistics &amp; Data Science</t>
        </is>
      </c>
      <c r="C209" s="144" t="n">
        <v>25</v>
      </c>
      <c r="D209" s="144" t="n">
        <v>23</v>
      </c>
      <c r="E209" s="172" t="n">
        <v>-2</v>
      </c>
      <c r="F209" s="145" t="inlineStr">
        <is>
          <t>Confirmed</t>
        </is>
      </c>
      <c r="G209" s="145" t="inlineStr">
        <is>
          <t>Exact match with verified count</t>
        </is>
      </c>
    </row>
    <row r="210" ht="15" customHeight="1" s="91">
      <c r="A210" s="140" t="inlineStr">
        <is>
          <t>Wisconsin SoB</t>
        </is>
      </c>
      <c r="B210" s="140" t="inlineStr">
        <is>
          <t>Accounting and Information Systems</t>
        </is>
      </c>
      <c r="C210" s="143" t="n">
        <v>5</v>
      </c>
      <c r="D210" s="143" t="n">
        <v>15</v>
      </c>
      <c r="E210" s="169" t="n">
        <v>10</v>
      </c>
      <c r="F210" s="140" t="inlineStr">
        <is>
          <t>Close (±1-2)</t>
        </is>
      </c>
      <c r="G210" s="140" t="inlineStr">
        <is>
          <t>File: 14, Verified: 15 (under by 1). TT faculty: Willie Choi (Assoc Prof), Dain Donelson (Prof), Ivy</t>
        </is>
      </c>
    </row>
    <row r="211" ht="15" customHeight="1" s="91">
      <c r="A211" s="145" t="inlineStr">
        <is>
          <t>Wisconsin SoB</t>
        </is>
      </c>
      <c r="B211" s="145" t="inlineStr">
        <is>
          <t>Finance, Investment, and Banking</t>
        </is>
      </c>
      <c r="C211" s="144" t="n">
        <v>7</v>
      </c>
      <c r="D211" s="144" t="n">
        <v>17</v>
      </c>
      <c r="E211" s="170" t="n">
        <v>10</v>
      </c>
      <c r="F211" s="145" t="inlineStr">
        <is>
          <t>Close (±1-2)</t>
        </is>
      </c>
      <c r="G211" s="145" t="inlineStr">
        <is>
          <t xml:space="preserve">File: 15, Verified: 17 (under by 2). TT faculty: Hengjie Ai (Dept Chair/Prof - confirmed TT), Jason </t>
        </is>
      </c>
    </row>
    <row r="212" ht="15" customHeight="1" s="91">
      <c r="A212" s="140" t="inlineStr">
        <is>
          <t>Wisconsin SoB</t>
        </is>
      </c>
      <c r="B212" s="140" t="inlineStr">
        <is>
          <t>Management and Human Resources</t>
        </is>
      </c>
      <c r="C212" s="143" t="n">
        <v>6</v>
      </c>
      <c r="D212" s="143" t="n">
        <v>18</v>
      </c>
      <c r="E212" s="169" t="n">
        <v>12</v>
      </c>
      <c r="F212" s="140" t="inlineStr">
        <is>
          <t>Close (±1-2)</t>
        </is>
      </c>
      <c r="G212" s="140" t="inlineStr">
        <is>
          <t xml:space="preserve">File: 20, Verified: 18 (over by 2). TT faculty: Stav Atir (Asst Prof), Russell Coff (Thomas J. Falk </t>
        </is>
      </c>
    </row>
    <row r="213" ht="15" customHeight="1" s="91">
      <c r="A213" s="145" t="inlineStr">
        <is>
          <t>Wisconsin SoB</t>
        </is>
      </c>
      <c r="B213" s="145" t="inlineStr">
        <is>
          <t>Marketing</t>
        </is>
      </c>
      <c r="C213" s="144" t="n">
        <v>6</v>
      </c>
      <c r="D213" s="144" t="n">
        <v>16</v>
      </c>
      <c r="E213" s="170" t="n">
        <v>10</v>
      </c>
      <c r="F213" s="145" t="inlineStr">
        <is>
          <t>Close (±1-2)</t>
        </is>
      </c>
      <c r="G213" s="145" t="inlineStr">
        <is>
          <t xml:space="preserve">File: 14, Verified: 16 (under by 2). TT faculty: Ishita Chakraborty (Asst Prof), Kevin Chung (Assoc </t>
        </is>
      </c>
    </row>
    <row r="214" ht="15" customHeight="1" s="91">
      <c r="A214" s="140" t="inlineStr">
        <is>
          <t>Wisconsin SoB</t>
        </is>
      </c>
      <c r="B214" s="140" t="inlineStr">
        <is>
          <t>Operations and Technology Management</t>
        </is>
      </c>
      <c r="C214" s="143" t="n">
        <v>6</v>
      </c>
      <c r="D214" s="143" t="n">
        <v>14</v>
      </c>
      <c r="E214" s="169" t="n">
        <v>8</v>
      </c>
      <c r="F214" s="140" t="inlineStr">
        <is>
          <t>Discrepancy</t>
        </is>
      </c>
      <c r="G214" s="140" t="inlineStr">
        <is>
          <t>File: 18, Verified: 14 (over by 4). TT faculty: Yash Babar (Asst Prof), Bob Batt (Assoc Prof), Hessa</t>
        </is>
      </c>
    </row>
    <row r="215" ht="15" customHeight="1" s="91">
      <c r="A215" s="145" t="inlineStr">
        <is>
          <t>Yale SOM</t>
        </is>
      </c>
      <c r="B215" s="145" t="inlineStr">
        <is>
          <t>Accounting</t>
        </is>
      </c>
      <c r="C215" s="144" t="n">
        <v>5</v>
      </c>
      <c r="D215" s="144" t="n">
        <v>12</v>
      </c>
      <c r="E215" s="170" t="n">
        <v>7</v>
      </c>
      <c r="F215" s="145" t="inlineStr">
        <is>
          <t>Confirmed</t>
        </is>
      </c>
      <c r="G215" s="145" t="inlineStr">
        <is>
          <t>Exact match with verified count</t>
        </is>
      </c>
    </row>
    <row r="216" ht="15" customHeight="1" s="91">
      <c r="A216" s="140" t="inlineStr">
        <is>
          <t>Yale SOM</t>
        </is>
      </c>
      <c r="B216" s="140" t="inlineStr">
        <is>
          <t>Economics</t>
        </is>
      </c>
      <c r="C216" s="143" t="n">
        <v>5</v>
      </c>
      <c r="D216" s="143" t="n">
        <v>25</v>
      </c>
      <c r="E216" s="169" t="n">
        <v>20</v>
      </c>
      <c r="F216" s="140" t="inlineStr">
        <is>
          <t>Confirmed</t>
        </is>
      </c>
      <c r="G216" s="140" t="inlineStr">
        <is>
          <t>Exact match with verified count</t>
        </is>
      </c>
    </row>
    <row r="217" ht="15" customHeight="1" s="91">
      <c r="A217" s="145" t="inlineStr">
        <is>
          <t>Yale SOM</t>
        </is>
      </c>
      <c r="B217" s="145" t="inlineStr">
        <is>
          <t>Finance</t>
        </is>
      </c>
      <c r="C217" s="144" t="n">
        <v>7</v>
      </c>
      <c r="D217" s="144" t="n">
        <v>24</v>
      </c>
      <c r="E217" s="170" t="n">
        <v>17</v>
      </c>
      <c r="F217" s="145" t="inlineStr">
        <is>
          <t>Confirmed</t>
        </is>
      </c>
      <c r="G217" s="145" t="inlineStr">
        <is>
          <t>Exact match with verified count</t>
        </is>
      </c>
    </row>
    <row r="218" ht="15" customHeight="1" s="91">
      <c r="A218" s="140" t="inlineStr">
        <is>
          <t>Yale SOM</t>
        </is>
      </c>
      <c r="B218" s="140" t="inlineStr">
        <is>
          <t>Marketing</t>
        </is>
      </c>
      <c r="C218" s="143" t="n">
        <v>6</v>
      </c>
      <c r="D218" s="143" t="n">
        <v>17</v>
      </c>
      <c r="E218" s="169" t="n">
        <v>11</v>
      </c>
      <c r="F218" s="140" t="inlineStr">
        <is>
          <t>Confirmed</t>
        </is>
      </c>
      <c r="G218" s="140" t="inlineStr">
        <is>
          <t>Exact match with verified count</t>
        </is>
      </c>
    </row>
    <row r="219" ht="15" customHeight="1" s="91">
      <c r="A219" s="145" t="inlineStr">
        <is>
          <t>Yale SOM</t>
        </is>
      </c>
      <c r="B219" s="145" t="inlineStr">
        <is>
          <t>Operations</t>
        </is>
      </c>
      <c r="C219" s="144" t="n">
        <v>6</v>
      </c>
      <c r="D219" s="144" t="n">
        <v>12</v>
      </c>
      <c r="E219" s="170" t="n">
        <v>6</v>
      </c>
      <c r="F219" s="145" t="inlineStr">
        <is>
          <t>Confirmed</t>
        </is>
      </c>
      <c r="G219" s="145" t="inlineStr">
        <is>
          <t>Exact match with verified count</t>
        </is>
      </c>
    </row>
    <row r="220" ht="15" customHeight="1" s="91">
      <c r="A220" s="140" t="inlineStr">
        <is>
          <t>Yale SOM</t>
        </is>
      </c>
      <c r="B220" s="140" t="inlineStr">
        <is>
          <t>Organizational Behavior</t>
        </is>
      </c>
      <c r="C220" s="143" t="n">
        <v>5</v>
      </c>
      <c r="D220" s="143" t="n">
        <v>13</v>
      </c>
      <c r="E220" s="169" t="n">
        <v>8</v>
      </c>
      <c r="F220" s="140" t="inlineStr">
        <is>
          <t>Confirmed</t>
        </is>
      </c>
      <c r="G220" s="140" t="inlineStr">
        <is>
          <t>Exact match with verified count</t>
        </is>
      </c>
    </row>
    <row r="222" ht="15" customHeight="1" s="91">
      <c r="A222" s="141" t="inlineStr">
        <is>
          <t>School Total Changes</t>
        </is>
      </c>
    </row>
    <row r="223" ht="15" customHeight="1" s="91">
      <c r="A223" s="142" t="inlineStr">
        <is>
          <t>School</t>
        </is>
      </c>
      <c r="C223" s="142" t="inlineStr">
        <is>
          <t>Old Total</t>
        </is>
      </c>
      <c r="D223" s="142" t="inlineStr">
        <is>
          <t>New Total</t>
        </is>
      </c>
      <c r="E223" s="142" t="inlineStr">
        <is>
          <t>Diff</t>
        </is>
      </c>
    </row>
    <row r="224" ht="15" customHeight="1" s="91">
      <c r="A224" s="140" t="inlineStr">
        <is>
          <t>BU Questrom</t>
        </is>
      </c>
      <c r="C224" s="143" t="n">
        <v>76</v>
      </c>
      <c r="D224" s="143" t="n">
        <v>86</v>
      </c>
      <c r="E224" s="173" t="n">
        <v>10</v>
      </c>
    </row>
    <row r="225" ht="15" customHeight="1" s="91">
      <c r="A225" s="145" t="inlineStr">
        <is>
          <t>BYU Marriott</t>
        </is>
      </c>
      <c r="B225" s="174" t="n"/>
      <c r="C225" s="144" t="n">
        <v>62</v>
      </c>
      <c r="D225" s="144" t="n">
        <v>123</v>
      </c>
      <c r="E225" s="175" t="n">
        <v>61</v>
      </c>
      <c r="F225" s="174" t="n"/>
      <c r="G225" s="174" t="n"/>
    </row>
    <row r="226" ht="15" customHeight="1" s="91">
      <c r="A226" s="140" t="inlineStr">
        <is>
          <t>CMU Tepper</t>
        </is>
      </c>
      <c r="C226" s="143" t="n">
        <v>46</v>
      </c>
      <c r="D226" s="143" t="n">
        <v>82</v>
      </c>
      <c r="E226" s="173" t="n">
        <v>36</v>
      </c>
    </row>
    <row r="227" ht="15" customHeight="1" s="91">
      <c r="A227" s="145" t="inlineStr">
        <is>
          <t>Dartmouth Tuck</t>
        </is>
      </c>
      <c r="B227" s="174" t="n"/>
      <c r="C227" s="144" t="n">
        <v>34</v>
      </c>
      <c r="D227" s="144" t="n">
        <v>55</v>
      </c>
      <c r="E227" s="175" t="n">
        <v>21</v>
      </c>
      <c r="F227" s="174" t="n"/>
      <c r="G227" s="174" t="n"/>
    </row>
    <row r="228" ht="15" customHeight="1" s="91">
      <c r="A228" s="140" t="inlineStr">
        <is>
          <t>Duke Fuqua</t>
        </is>
      </c>
      <c r="C228" s="143" t="n">
        <v>47</v>
      </c>
      <c r="D228" s="143" t="n">
        <v>95</v>
      </c>
      <c r="E228" s="173" t="n">
        <v>48</v>
      </c>
    </row>
    <row r="229" ht="15" customHeight="1" s="91">
      <c r="A229" s="145" t="inlineStr">
        <is>
          <t>Emory Goizueta</t>
        </is>
      </c>
      <c r="B229" s="174" t="n"/>
      <c r="C229" s="144" t="n">
        <v>41</v>
      </c>
      <c r="D229" s="144" t="n">
        <v>45</v>
      </c>
      <c r="E229" s="175" t="n">
        <v>4</v>
      </c>
      <c r="F229" s="174" t="n"/>
      <c r="G229" s="174" t="n"/>
    </row>
    <row r="230" ht="15" customHeight="1" s="91">
      <c r="A230" s="140" t="inlineStr">
        <is>
          <t>GT Scheller</t>
        </is>
      </c>
      <c r="C230" s="143" t="n">
        <v>38</v>
      </c>
      <c r="D230" s="143" t="n">
        <v>61</v>
      </c>
      <c r="E230" s="173" t="n">
        <v>23</v>
      </c>
    </row>
    <row r="231" ht="15" customHeight="1" s="91">
      <c r="A231" s="145" t="inlineStr">
        <is>
          <t>Harvard HBS</t>
        </is>
      </c>
      <c r="B231" s="174" t="n"/>
      <c r="C231" s="144" t="n">
        <v>209</v>
      </c>
      <c r="D231" s="144" t="n">
        <v>201</v>
      </c>
      <c r="E231" s="176" t="n">
        <v>-8</v>
      </c>
      <c r="F231" s="174" t="n"/>
      <c r="G231" s="174" t="n"/>
    </row>
    <row r="232" ht="15" customHeight="1" s="91">
      <c r="A232" s="140" t="inlineStr">
        <is>
          <t>Indiana Kelley</t>
        </is>
      </c>
      <c r="C232" s="143" t="n">
        <v>48</v>
      </c>
      <c r="D232" s="143" t="n">
        <v>196</v>
      </c>
      <c r="E232" s="173" t="n">
        <v>148</v>
      </c>
    </row>
    <row r="233" ht="15" customHeight="1" s="91">
      <c r="A233" s="145" t="inlineStr">
        <is>
          <t>Maryland Smith</t>
        </is>
      </c>
      <c r="B233" s="174" t="n"/>
      <c r="C233" s="144" t="n">
        <v>135</v>
      </c>
      <c r="D233" s="144" t="n">
        <v>89</v>
      </c>
      <c r="E233" s="176" t="n">
        <v>-46</v>
      </c>
      <c r="F233" s="174" t="n"/>
      <c r="G233" s="174" t="n"/>
    </row>
    <row r="234" ht="15" customHeight="1" s="91">
      <c r="A234" s="140" t="inlineStr">
        <is>
          <t>Michigan Ross</t>
        </is>
      </c>
      <c r="C234" s="143" t="n">
        <v>74</v>
      </c>
      <c r="D234" s="143" t="n">
        <v>112</v>
      </c>
      <c r="E234" s="173" t="n">
        <v>38</v>
      </c>
    </row>
    <row r="235" ht="15" customHeight="1" s="91">
      <c r="A235" s="145" t="inlineStr">
        <is>
          <t>Minnesota Carlson</t>
        </is>
      </c>
      <c r="B235" s="174" t="n"/>
      <c r="C235" s="144" t="n">
        <v>104</v>
      </c>
      <c r="D235" s="144" t="n">
        <v>86</v>
      </c>
      <c r="E235" s="176" t="n">
        <v>-18</v>
      </c>
      <c r="F235" s="174" t="n"/>
      <c r="G235" s="174" t="n"/>
    </row>
    <row r="236" ht="15" customHeight="1" s="91">
      <c r="A236" s="140" t="inlineStr">
        <is>
          <t>NYU Stern</t>
        </is>
      </c>
      <c r="C236" s="143" t="n">
        <v>125</v>
      </c>
      <c r="D236" s="143" t="n">
        <v>170</v>
      </c>
      <c r="E236" s="173" t="n">
        <v>45</v>
      </c>
    </row>
    <row r="237" ht="15" customHeight="1" s="91">
      <c r="A237" s="145" t="inlineStr">
        <is>
          <t>Notre Dame Mendoza</t>
        </is>
      </c>
      <c r="B237" s="174" t="n"/>
      <c r="C237" s="144" t="n">
        <v>59</v>
      </c>
      <c r="D237" s="144" t="n">
        <v>98</v>
      </c>
      <c r="E237" s="175" t="n">
        <v>39</v>
      </c>
      <c r="F237" s="174" t="n"/>
      <c r="G237" s="174" t="n"/>
    </row>
    <row r="238" ht="15" customHeight="1" s="91">
      <c r="A238" s="140" t="inlineStr">
        <is>
          <t>Ohio State Fisher</t>
        </is>
      </c>
      <c r="C238" s="143" t="n">
        <v>40</v>
      </c>
      <c r="D238" s="143" t="n">
        <v>49</v>
      </c>
      <c r="E238" s="173" t="n">
        <v>9</v>
      </c>
    </row>
    <row r="239" ht="15" customHeight="1" s="91">
      <c r="A239" s="145" t="inlineStr">
        <is>
          <t>Penn State Smeal</t>
        </is>
      </c>
      <c r="B239" s="174" t="n"/>
      <c r="C239" s="144" t="n">
        <v>37</v>
      </c>
      <c r="D239" s="144" t="n">
        <v>121</v>
      </c>
      <c r="E239" s="175" t="n">
        <v>84</v>
      </c>
      <c r="F239" s="174" t="n"/>
      <c r="G239" s="174" t="n"/>
    </row>
    <row r="240" ht="15" customHeight="1" s="91">
      <c r="A240" s="140" t="inlineStr">
        <is>
          <t>Rice Jones</t>
        </is>
      </c>
      <c r="C240" s="143" t="n">
        <v>42</v>
      </c>
      <c r="D240" s="143" t="n">
        <v>73</v>
      </c>
      <c r="E240" s="173" t="n">
        <v>31</v>
      </c>
    </row>
    <row r="241" ht="15" customHeight="1" s="91">
      <c r="A241" s="145" t="inlineStr">
        <is>
          <t>SMU Cox</t>
        </is>
      </c>
      <c r="B241" s="174" t="n"/>
      <c r="C241" s="144" t="n">
        <v>37</v>
      </c>
      <c r="D241" s="144" t="n">
        <v>59</v>
      </c>
      <c r="E241" s="175" t="n">
        <v>22</v>
      </c>
      <c r="F241" s="174" t="n"/>
      <c r="G241" s="174" t="n"/>
    </row>
    <row r="242" ht="15" customHeight="1" s="91">
      <c r="A242" s="140" t="inlineStr">
        <is>
          <t>Texas A&amp;M Mays</t>
        </is>
      </c>
      <c r="C242" s="143" t="n">
        <v>47</v>
      </c>
      <c r="D242" s="143" t="n">
        <v>99</v>
      </c>
      <c r="E242" s="173" t="n">
        <v>52</v>
      </c>
    </row>
    <row r="243" ht="15" customHeight="1" s="91">
      <c r="A243" s="145" t="inlineStr">
        <is>
          <t>Tulane Freeman</t>
        </is>
      </c>
      <c r="B243" s="174" t="n"/>
      <c r="C243" s="144" t="n">
        <v>50</v>
      </c>
      <c r="D243" s="144" t="n">
        <v>57</v>
      </c>
      <c r="E243" s="175" t="n">
        <v>7</v>
      </c>
      <c r="F243" s="174" t="n"/>
      <c r="G243" s="174" t="n"/>
    </row>
    <row r="244" ht="15" customHeight="1" s="91">
      <c r="A244" s="140" t="inlineStr">
        <is>
          <t>UCLA Anderson</t>
        </is>
      </c>
      <c r="C244" s="143" t="n">
        <v>38</v>
      </c>
      <c r="D244" s="143" t="n">
        <v>68</v>
      </c>
      <c r="E244" s="173" t="n">
        <v>30</v>
      </c>
    </row>
    <row r="245" ht="15" customHeight="1" s="91">
      <c r="A245" s="145" t="inlineStr">
        <is>
          <t>UF Warrington</t>
        </is>
      </c>
      <c r="B245" s="174" t="n"/>
      <c r="C245" s="144" t="n">
        <v>38</v>
      </c>
      <c r="D245" s="144" t="n">
        <v>50</v>
      </c>
      <c r="E245" s="175" t="n">
        <v>12</v>
      </c>
      <c r="F245" s="174" t="n"/>
      <c r="G245" s="174" t="n"/>
    </row>
    <row r="246" ht="15" customHeight="1" s="91">
      <c r="A246" s="140" t="inlineStr">
        <is>
          <t>UNC Kenan-Flagler</t>
        </is>
      </c>
      <c r="C246" s="143" t="n">
        <v>46</v>
      </c>
      <c r="D246" s="143" t="n">
        <v>81</v>
      </c>
      <c r="E246" s="173" t="n">
        <v>35</v>
      </c>
    </row>
    <row r="247" ht="15" customHeight="1" s="91">
      <c r="A247" s="145" t="inlineStr">
        <is>
          <t>USC Marshall</t>
        </is>
      </c>
      <c r="B247" s="174" t="n"/>
      <c r="C247" s="144" t="n">
        <v>63</v>
      </c>
      <c r="D247" s="144" t="n">
        <v>136</v>
      </c>
      <c r="E247" s="175" t="n">
        <v>73</v>
      </c>
      <c r="F247" s="174" t="n"/>
      <c r="G247" s="174" t="n"/>
    </row>
    <row r="248" ht="15" customHeight="1" s="91">
      <c r="A248" s="140" t="inlineStr">
        <is>
          <t>UT McCombs</t>
        </is>
      </c>
      <c r="C248" s="143" t="n">
        <v>72</v>
      </c>
      <c r="D248" s="143" t="n">
        <v>138</v>
      </c>
      <c r="E248" s="173" t="n">
        <v>66</v>
      </c>
    </row>
    <row r="249" ht="15" customHeight="1" s="91">
      <c r="A249" s="145" t="inlineStr">
        <is>
          <t>UVA Darden</t>
        </is>
      </c>
      <c r="B249" s="174" t="n"/>
      <c r="C249" s="144" t="n">
        <v>50</v>
      </c>
      <c r="D249" s="144" t="n">
        <v>89</v>
      </c>
      <c r="E249" s="175" t="n">
        <v>39</v>
      </c>
      <c r="F249" s="174" t="n"/>
      <c r="G249" s="174" t="n"/>
    </row>
    <row r="250" ht="15" customHeight="1" s="91">
      <c r="A250" s="140" t="inlineStr">
        <is>
          <t>UW Foster</t>
        </is>
      </c>
      <c r="C250" s="143" t="n">
        <v>48</v>
      </c>
      <c r="D250" s="143" t="n">
        <v>95</v>
      </c>
      <c r="E250" s="173" t="n">
        <v>47</v>
      </c>
    </row>
    <row r="251" ht="15" customHeight="1" s="91">
      <c r="A251" s="145" t="inlineStr">
        <is>
          <t>Vanderbilt Owen</t>
        </is>
      </c>
      <c r="B251" s="174" t="n"/>
      <c r="C251" s="144" t="n">
        <v>29</v>
      </c>
      <c r="D251" s="144" t="n">
        <v>49</v>
      </c>
      <c r="E251" s="175" t="n">
        <v>20</v>
      </c>
      <c r="F251" s="174" t="n"/>
      <c r="G251" s="174" t="n"/>
    </row>
    <row r="252" ht="15" customHeight="1" s="91">
      <c r="A252" s="140" t="inlineStr">
        <is>
          <t>WashU Olin</t>
        </is>
      </c>
      <c r="C252" s="143" t="n">
        <v>54</v>
      </c>
      <c r="D252" s="143" t="n">
        <v>44</v>
      </c>
      <c r="E252" s="177" t="n">
        <v>-10</v>
      </c>
    </row>
    <row r="253" ht="15" customHeight="1" s="91">
      <c r="A253" s="145" t="inlineStr">
        <is>
          <t>Wisconsin SoB</t>
        </is>
      </c>
      <c r="B253" s="174" t="n"/>
      <c r="C253" s="144" t="n">
        <v>42</v>
      </c>
      <c r="D253" s="144" t="n">
        <v>92</v>
      </c>
      <c r="E253" s="175" t="n">
        <v>50</v>
      </c>
      <c r="F253" s="174" t="n"/>
      <c r="G253" s="174" t="n"/>
    </row>
    <row r="254" ht="15" customHeight="1" s="91">
      <c r="A254" s="140" t="inlineStr">
        <is>
          <t>Yale SOM</t>
        </is>
      </c>
      <c r="C254" s="143" t="n">
        <v>40</v>
      </c>
      <c r="D254" s="143" t="n">
        <v>110</v>
      </c>
      <c r="E254" s="173" t="n">
        <v>70</v>
      </c>
    </row>
    <row r="256" ht="15" customHeight="1" s="91">
      <c r="A256" s="141" t="inlineStr">
        <is>
          <t>Unmatched Departments from Verification File (101)</t>
        </is>
      </c>
    </row>
    <row r="257" ht="15" customHeight="1" s="91">
      <c r="A257" s="178" t="inlineStr">
        <is>
          <t>School</t>
        </is>
      </c>
      <c r="B257" s="178" t="inlineStr">
        <is>
          <t>Department</t>
        </is>
      </c>
      <c r="C257" s="178" t="inlineStr">
        <is>
          <t>Faculty</t>
        </is>
      </c>
      <c r="D257" s="178" t="inlineStr">
        <is>
          <t>Verified</t>
        </is>
      </c>
      <c r="E257" s="178" t="inlineStr">
        <is>
          <t>Status</t>
        </is>
      </c>
    </row>
    <row r="258" ht="15" customHeight="1" s="91">
      <c r="A258" s="140" t="inlineStr">
        <is>
          <t>BYU Marriott</t>
        </is>
      </c>
      <c r="B258" s="140" t="inlineStr">
        <is>
          <t>Romney Institute of Public Service and Ethics</t>
        </is>
      </c>
      <c r="C258" s="140" t="n">
        <v>11</v>
      </c>
      <c r="D258" s="140" t="n">
        <v>12</v>
      </c>
      <c r="E258" s="140" t="inlineStr">
        <is>
          <t>Close (±1-2)</t>
        </is>
      </c>
    </row>
    <row r="259" ht="15" customHeight="1" s="91">
      <c r="A259" s="140" t="inlineStr">
        <is>
          <t>Berkeley Haas</t>
        </is>
      </c>
      <c r="B259" s="140" t="inlineStr">
        <is>
          <t>Economic Analysis &amp; Policy</t>
        </is>
      </c>
      <c r="C259" s="140" t="n">
        <v>19</v>
      </c>
      <c r="D259" s="140" t="n">
        <v>19</v>
      </c>
      <c r="E259" s="140" t="inlineStr">
        <is>
          <t>Confirmed</t>
        </is>
      </c>
    </row>
    <row r="260" ht="15" customHeight="1" s="91">
      <c r="A260" s="140" t="inlineStr">
        <is>
          <t>Berkeley Haas</t>
        </is>
      </c>
      <c r="B260" s="140" t="inlineStr">
        <is>
          <t>Operations &amp; IT Management</t>
        </is>
      </c>
      <c r="C260" s="140" t="n">
        <v>8</v>
      </c>
      <c r="D260" s="140" t="n">
        <v>8</v>
      </c>
      <c r="E260" s="140" t="inlineStr">
        <is>
          <t>Confirmed</t>
        </is>
      </c>
    </row>
    <row r="261" ht="15" customHeight="1" s="91">
      <c r="A261" s="140" t="inlineStr">
        <is>
          <t>Boston College Carroll</t>
        </is>
      </c>
      <c r="B261" s="140" t="inlineStr">
        <is>
          <t>Accounting</t>
        </is>
      </c>
      <c r="C261" s="140" t="n">
        <v>14</v>
      </c>
      <c r="D261" s="140" t="n">
        <v>14</v>
      </c>
      <c r="E261" s="140" t="inlineStr">
        <is>
          <t>Confirmed</t>
        </is>
      </c>
    </row>
    <row r="262" ht="15" customHeight="1" s="91">
      <c r="A262" s="140" t="inlineStr">
        <is>
          <t>Boston College Carroll</t>
        </is>
      </c>
      <c r="B262" s="140" t="inlineStr">
        <is>
          <t>Business Analytics</t>
        </is>
      </c>
      <c r="C262" s="140" t="n">
        <v>13</v>
      </c>
      <c r="D262" s="140" t="n">
        <v>13</v>
      </c>
      <c r="E262" s="140" t="inlineStr">
        <is>
          <t>Confirmed</t>
        </is>
      </c>
    </row>
    <row r="263" ht="15" customHeight="1" s="91">
      <c r="A263" s="140" t="inlineStr">
        <is>
          <t>Boston College Carroll</t>
        </is>
      </c>
      <c r="B263" s="140" t="inlineStr">
        <is>
          <t>Business Law and Society</t>
        </is>
      </c>
      <c r="C263" s="140" t="n">
        <v>2</v>
      </c>
      <c r="D263" s="140" t="n">
        <v>0</v>
      </c>
      <c r="E263" s="140" t="inlineStr">
        <is>
          <t>Close (±1-2)</t>
        </is>
      </c>
    </row>
    <row r="264" ht="15" customHeight="1" s="91">
      <c r="A264" s="140" t="inlineStr">
        <is>
          <t>Boston College Carroll</t>
        </is>
      </c>
      <c r="B264" s="140" t="inlineStr">
        <is>
          <t>Finance</t>
        </is>
      </c>
      <c r="C264" s="140" t="n">
        <v>27</v>
      </c>
      <c r="D264" s="140" t="n">
        <v>29</v>
      </c>
      <c r="E264" s="140" t="inlineStr">
        <is>
          <t>Close (±1-2)</t>
        </is>
      </c>
    </row>
    <row r="265" ht="15" customHeight="1" s="91">
      <c r="A265" s="140" t="inlineStr">
        <is>
          <t>Boston College Carroll</t>
        </is>
      </c>
      <c r="B265" s="140" t="inlineStr">
        <is>
          <t>Management and Organization</t>
        </is>
      </c>
      <c r="C265" s="140" t="n">
        <v>11</v>
      </c>
      <c r="D265" s="140" t="n">
        <v>12</v>
      </c>
      <c r="E265" s="140" t="inlineStr">
        <is>
          <t>Close (±1-2)</t>
        </is>
      </c>
    </row>
    <row r="266" ht="15" customHeight="1" s="91">
      <c r="A266" s="140" t="inlineStr">
        <is>
          <t>Boston College Carroll</t>
        </is>
      </c>
      <c r="B266" s="140" t="inlineStr">
        <is>
          <t>Marketing</t>
        </is>
      </c>
      <c r="C266" s="140" t="n">
        <v>11</v>
      </c>
      <c r="D266" s="140" t="n">
        <v>11</v>
      </c>
      <c r="E266" s="140" t="inlineStr">
        <is>
          <t>Confirmed</t>
        </is>
      </c>
    </row>
    <row r="267" ht="15" customHeight="1" s="91">
      <c r="A267" s="140" t="inlineStr">
        <is>
          <t>CMU Tepper</t>
        </is>
      </c>
      <c r="B267" s="140" t="inlineStr">
        <is>
          <t>Business Technologies</t>
        </is>
      </c>
      <c r="C267" s="140" t="n">
        <v>10</v>
      </c>
      <c r="D267" s="140" t="n">
        <v>10</v>
      </c>
      <c r="E267" s="140" t="inlineStr">
        <is>
          <t>Confirmed</t>
        </is>
      </c>
    </row>
    <row r="268" ht="15" customHeight="1" s="91">
      <c r="A268" s="140" t="inlineStr">
        <is>
          <t>CMU Tepper</t>
        </is>
      </c>
      <c r="B268" s="140" t="inlineStr">
        <is>
          <t>Strategy</t>
        </is>
      </c>
      <c r="C268" s="140" t="n">
        <v>6</v>
      </c>
      <c r="D268" s="140" t="n">
        <v>6</v>
      </c>
      <c r="E268" s="140" t="inlineStr">
        <is>
          <t>Confirmed</t>
        </is>
      </c>
    </row>
    <row r="269" ht="15" customHeight="1" s="91">
      <c r="A269" s="140" t="inlineStr">
        <is>
          <t>Cornell SC Johnson</t>
        </is>
      </c>
      <c r="B269" s="140" t="inlineStr">
        <is>
          <t>Accounting</t>
        </is>
      </c>
      <c r="C269" s="140" t="n">
        <v>12</v>
      </c>
      <c r="D269" s="140" t="n">
        <v>14</v>
      </c>
      <c r="E269" s="140" t="inlineStr">
        <is>
          <t>Close (±1-2)</t>
        </is>
      </c>
    </row>
    <row r="270" ht="15" customHeight="1" s="91">
      <c r="A270" s="140" t="inlineStr">
        <is>
          <t>Cornell SC Johnson</t>
        </is>
      </c>
      <c r="B270" s="140" t="inlineStr">
        <is>
          <t>Applied Economics &amp; Policy</t>
        </is>
      </c>
      <c r="C270" s="140" t="n">
        <v>25</v>
      </c>
      <c r="D270" s="140" t="n">
        <v>25</v>
      </c>
      <c r="E270" s="140" t="inlineStr">
        <is>
          <t>Confirmed</t>
        </is>
      </c>
    </row>
    <row r="271" ht="15" customHeight="1" s="91">
      <c r="A271" s="140" t="inlineStr">
        <is>
          <t>Cornell SC Johnson</t>
        </is>
      </c>
      <c r="B271" s="140" t="inlineStr">
        <is>
          <t>Finance</t>
        </is>
      </c>
      <c r="C271" s="140" t="n">
        <v>28</v>
      </c>
      <c r="D271" s="140" t="n">
        <v>24</v>
      </c>
      <c r="E271" s="140" t="inlineStr">
        <is>
          <t>Discrepancy</t>
        </is>
      </c>
    </row>
    <row r="272" ht="15" customHeight="1" s="91">
      <c r="A272" s="140" t="inlineStr">
        <is>
          <t>Cornell SC Johnson</t>
        </is>
      </c>
      <c r="B272" s="140" t="inlineStr">
        <is>
          <t>Management &amp; Organizations</t>
        </is>
      </c>
      <c r="C272" s="140" t="n">
        <v>19</v>
      </c>
      <c r="D272" s="140" t="n">
        <v>27</v>
      </c>
      <c r="E272" s="140" t="inlineStr">
        <is>
          <t>Discrepancy</t>
        </is>
      </c>
    </row>
    <row r="273" ht="15" customHeight="1" s="91">
      <c r="A273" s="140" t="inlineStr">
        <is>
          <t>Cornell SC Johnson</t>
        </is>
      </c>
      <c r="B273" s="140" t="inlineStr">
        <is>
          <t>Marketing</t>
        </is>
      </c>
      <c r="C273" s="140" t="n">
        <v>24</v>
      </c>
      <c r="D273" s="140" t="n">
        <v>22</v>
      </c>
      <c r="E273" s="140" t="inlineStr">
        <is>
          <t>Close (±1-2)</t>
        </is>
      </c>
    </row>
    <row r="274" ht="15" customHeight="1" s="91">
      <c r="A274" s="140" t="inlineStr">
        <is>
          <t>Cornell SC Johnson</t>
        </is>
      </c>
      <c r="B274" s="140" t="inlineStr">
        <is>
          <t>Operations, Technology &amp; Information Management</t>
        </is>
      </c>
      <c r="C274" s="140" t="n">
        <v>24</v>
      </c>
      <c r="D274" s="140" t="n">
        <v>14</v>
      </c>
      <c r="E274" s="140" t="inlineStr">
        <is>
          <t>Discrepancy</t>
        </is>
      </c>
    </row>
    <row r="275" ht="15" customHeight="1" s="91">
      <c r="A275" s="140" t="inlineStr">
        <is>
          <t>Cornell SC Johnson</t>
        </is>
      </c>
      <c r="B275" s="140" t="inlineStr">
        <is>
          <t>Other</t>
        </is>
      </c>
      <c r="C275" s="140" t="n">
        <v>3</v>
      </c>
      <c r="D275" s="140" t="n">
        <v>3</v>
      </c>
      <c r="E275" s="140" t="inlineStr">
        <is>
          <t>Confirmed</t>
        </is>
      </c>
    </row>
    <row r="276" ht="15" customHeight="1" s="91">
      <c r="A276" s="140" t="inlineStr">
        <is>
          <t>Cornell SC Johnson</t>
        </is>
      </c>
      <c r="B276" s="140" t="inlineStr">
        <is>
          <t>Strategy</t>
        </is>
      </c>
      <c r="C276" s="140" t="n">
        <v>10</v>
      </c>
      <c r="D276" s="140" t="n">
        <v>16</v>
      </c>
      <c r="E276" s="140" t="inlineStr">
        <is>
          <t>Discrepancy</t>
        </is>
      </c>
    </row>
    <row r="277" ht="15" customHeight="1" s="91">
      <c r="A277" s="140" t="inlineStr">
        <is>
          <t>Dartmouth Tuck</t>
        </is>
      </c>
      <c r="B277" s="140" t="inlineStr">
        <is>
          <t>Strategy</t>
        </is>
      </c>
      <c r="C277" s="140" t="n">
        <v>8</v>
      </c>
      <c r="D277" s="140" t="n">
        <v>7</v>
      </c>
      <c r="E277" s="140" t="inlineStr">
        <is>
          <t>Close (±1-2)</t>
        </is>
      </c>
    </row>
    <row r="278" ht="15" customHeight="1" s="91">
      <c r="A278" s="140" t="inlineStr">
        <is>
          <t>GT Scheller</t>
        </is>
      </c>
      <c r="B278" s="140" t="inlineStr">
        <is>
          <t>IT Management</t>
        </is>
      </c>
      <c r="C278" s="140" t="n">
        <v>9</v>
      </c>
      <c r="D278" s="140" t="n">
        <v>12</v>
      </c>
      <c r="E278" s="140" t="inlineStr">
        <is>
          <t>Discrepancy</t>
        </is>
      </c>
    </row>
    <row r="279" ht="15" customHeight="1" s="91">
      <c r="A279" s="140" t="inlineStr">
        <is>
          <t>Georgetown McDonough</t>
        </is>
      </c>
      <c r="B279" s="140" t="inlineStr">
        <is>
          <t>Accounting and Business Law</t>
        </is>
      </c>
      <c r="C279" s="140" t="n">
        <v>9</v>
      </c>
      <c r="D279" s="140" t="n">
        <v>9</v>
      </c>
      <c r="E279" s="140" t="inlineStr">
        <is>
          <t>Confirmed</t>
        </is>
      </c>
    </row>
    <row r="280" ht="15" customHeight="1" s="91">
      <c r="A280" s="140" t="inlineStr">
        <is>
          <t>Georgetown McDonough</t>
        </is>
      </c>
      <c r="B280" s="140" t="inlineStr">
        <is>
          <t>Finance</t>
        </is>
      </c>
      <c r="C280" s="140" t="n">
        <v>15</v>
      </c>
      <c r="D280" s="140" t="n">
        <v>17</v>
      </c>
      <c r="E280" s="140" t="inlineStr">
        <is>
          <t>Close (±1-2)</t>
        </is>
      </c>
    </row>
    <row r="281" ht="15" customHeight="1" s="91">
      <c r="A281" s="140" t="inlineStr">
        <is>
          <t>Georgetown McDonough</t>
        </is>
      </c>
      <c r="B281" s="140" t="inlineStr">
        <is>
          <t>Management</t>
        </is>
      </c>
      <c r="C281" s="140" t="n">
        <v>11</v>
      </c>
      <c r="D281" s="140" t="n">
        <v>11</v>
      </c>
      <c r="E281" s="140" t="inlineStr">
        <is>
          <t>Confirmed</t>
        </is>
      </c>
    </row>
    <row r="282" ht="15" customHeight="1" s="91">
      <c r="A282" s="140" t="inlineStr">
        <is>
          <t>Georgetown McDonough</t>
        </is>
      </c>
      <c r="B282" s="140" t="inlineStr">
        <is>
          <t>Marketing</t>
        </is>
      </c>
      <c r="C282" s="140" t="n">
        <v>12</v>
      </c>
      <c r="D282" s="140" t="n">
        <v>12</v>
      </c>
      <c r="E282" s="140" t="inlineStr">
        <is>
          <t>Confirmed</t>
        </is>
      </c>
    </row>
    <row r="283" ht="15" customHeight="1" s="91">
      <c r="A283" s="140" t="inlineStr">
        <is>
          <t>Georgetown McDonough</t>
        </is>
      </c>
      <c r="B283" s="140" t="inlineStr">
        <is>
          <t>Strategy, Economics, Ethics, and Public Policy</t>
        </is>
      </c>
      <c r="C283" s="140" t="n">
        <v>18</v>
      </c>
      <c r="D283" s="140" t="n">
        <v>20</v>
      </c>
      <c r="E283" s="140" t="inlineStr">
        <is>
          <t>Close (±1-2)</t>
        </is>
      </c>
    </row>
    <row r="284" ht="15" customHeight="1" s="91">
      <c r="A284" s="140" t="inlineStr">
        <is>
          <t>Illinois Gies</t>
        </is>
      </c>
      <c r="B284" s="140" t="inlineStr">
        <is>
          <t>Accountancy</t>
        </is>
      </c>
      <c r="C284" s="140" t="n">
        <v>37</v>
      </c>
      <c r="D284" s="140" t="n">
        <v>39</v>
      </c>
      <c r="E284" s="140" t="inlineStr">
        <is>
          <t>Close (±1-2)</t>
        </is>
      </c>
    </row>
    <row r="285" ht="15" customHeight="1" s="91">
      <c r="A285" s="140" t="inlineStr">
        <is>
          <t>Illinois Gies</t>
        </is>
      </c>
      <c r="B285" s="140" t="inlineStr">
        <is>
          <t>Finance</t>
        </is>
      </c>
      <c r="C285" s="140" t="n">
        <v>25</v>
      </c>
      <c r="D285" s="140" t="n">
        <v>25</v>
      </c>
      <c r="E285" s="140" t="inlineStr">
        <is>
          <t>Confirmed</t>
        </is>
      </c>
    </row>
    <row r="286" ht="15" customHeight="1" s="91">
      <c r="A286" s="140" t="inlineStr">
        <is>
          <t>Illinois Gies</t>
        </is>
      </c>
      <c r="B286" s="140" t="inlineStr">
        <is>
          <t>IS/Operations/Supply Chain/Analytics</t>
        </is>
      </c>
      <c r="C286" s="140" t="n">
        <v>14</v>
      </c>
      <c r="D286" s="140" t="n">
        <v>17</v>
      </c>
      <c r="E286" s="140" t="inlineStr">
        <is>
          <t>Discrepancy</t>
        </is>
      </c>
    </row>
    <row r="287" ht="15" customHeight="1" s="91">
      <c r="A287" s="140" t="inlineStr">
        <is>
          <t>Illinois Gies</t>
        </is>
      </c>
      <c r="B287" s="140" t="inlineStr">
        <is>
          <t>Marketing</t>
        </is>
      </c>
      <c r="C287" s="140" t="n">
        <v>12</v>
      </c>
      <c r="D287" s="140" t="n">
        <v>13</v>
      </c>
      <c r="E287" s="140" t="inlineStr">
        <is>
          <t>Close (±1-2)</t>
        </is>
      </c>
    </row>
    <row r="288" ht="15" customHeight="1" s="91">
      <c r="A288" s="140" t="inlineStr">
        <is>
          <t>Illinois Gies</t>
        </is>
      </c>
      <c r="B288" s="140" t="inlineStr">
        <is>
          <t>OB/Business Law</t>
        </is>
      </c>
      <c r="C288" s="140" t="n">
        <v>14</v>
      </c>
      <c r="D288" s="140" t="n">
        <v>14</v>
      </c>
      <c r="E288" s="140" t="inlineStr">
        <is>
          <t>Confirmed</t>
        </is>
      </c>
    </row>
    <row r="289" ht="15" customHeight="1" s="91">
      <c r="A289" s="140" t="inlineStr">
        <is>
          <t>Illinois Gies</t>
        </is>
      </c>
      <c r="B289" s="140" t="inlineStr">
        <is>
          <t>Strategy &amp; Entrepreneurship</t>
        </is>
      </c>
      <c r="C289" s="140" t="n">
        <v>16</v>
      </c>
      <c r="D289" s="140" t="n">
        <v>16</v>
      </c>
      <c r="E289" s="140" t="inlineStr">
        <is>
          <t>Confirmed</t>
        </is>
      </c>
    </row>
    <row r="290" ht="15" customHeight="1" s="91">
      <c r="A290" s="140" t="inlineStr">
        <is>
          <t>Michigan Ross</t>
        </is>
      </c>
      <c r="B290" s="140" t="inlineStr">
        <is>
          <t>Business Law</t>
        </is>
      </c>
      <c r="C290" s="140" t="n">
        <v>7</v>
      </c>
      <c r="D290" s="140" t="n">
        <v>8</v>
      </c>
      <c r="E290" s="140" t="inlineStr">
        <is>
          <t>Close (±1-2)</t>
        </is>
      </c>
    </row>
    <row r="291" ht="15" customHeight="1" s="91">
      <c r="A291" s="140" t="inlineStr">
        <is>
          <t>Michigan Ross</t>
        </is>
      </c>
      <c r="B291" s="140" t="inlineStr">
        <is>
          <t>Entrepreneurial Studies</t>
        </is>
      </c>
      <c r="C291" s="140" t="n">
        <v>2</v>
      </c>
      <c r="D291" s="140" t="n">
        <v>2</v>
      </c>
      <c r="E291" s="140" t="inlineStr">
        <is>
          <t>Confirmed</t>
        </is>
      </c>
    </row>
    <row r="292" ht="15" customHeight="1" s="91">
      <c r="A292" s="140" t="inlineStr">
        <is>
          <t>Michigan Ross</t>
        </is>
      </c>
      <c r="B292" s="140" t="inlineStr">
        <is>
          <t>Executive Education</t>
        </is>
      </c>
      <c r="C292" s="140" t="n">
        <v>1</v>
      </c>
      <c r="D292" s="140" t="n">
        <v>0</v>
      </c>
      <c r="E292" s="140" t="inlineStr">
        <is>
          <t>Close (±1-2)</t>
        </is>
      </c>
    </row>
    <row r="293" ht="15" customHeight="1" s="91">
      <c r="A293" s="140" t="inlineStr">
        <is>
          <t>Michigan State Broad</t>
        </is>
      </c>
      <c r="B293" s="140" t="inlineStr">
        <is>
          <t>Accounting &amp; Information Systems</t>
        </is>
      </c>
      <c r="C293" s="140" t="n">
        <v>19</v>
      </c>
      <c r="D293" s="140" t="n">
        <v>22</v>
      </c>
      <c r="E293" s="140" t="inlineStr">
        <is>
          <t>Discrepancy</t>
        </is>
      </c>
    </row>
    <row r="294" ht="15" customHeight="1" s="91">
      <c r="A294" s="140" t="inlineStr">
        <is>
          <t>Michigan State Broad</t>
        </is>
      </c>
      <c r="B294" s="140" t="inlineStr">
        <is>
          <t>Finance</t>
        </is>
      </c>
      <c r="C294" s="140" t="n">
        <v>8</v>
      </c>
      <c r="D294" s="140" t="n">
        <v>11</v>
      </c>
      <c r="E294" s="140" t="inlineStr">
        <is>
          <t>Discrepancy</t>
        </is>
      </c>
    </row>
    <row r="295" ht="15" customHeight="1" s="91">
      <c r="A295" s="140" t="inlineStr">
        <is>
          <t>Michigan State Broad</t>
        </is>
      </c>
      <c r="B295" s="140" t="inlineStr">
        <is>
          <t>Hospitality Business</t>
        </is>
      </c>
      <c r="C295" s="140" t="n">
        <v>9</v>
      </c>
      <c r="D295" s="140" t="n">
        <v>10</v>
      </c>
      <c r="E295" s="140" t="inlineStr">
        <is>
          <t>Close (±1-2)</t>
        </is>
      </c>
    </row>
    <row r="296" ht="15" customHeight="1" s="91">
      <c r="A296" s="140" t="inlineStr">
        <is>
          <t>Michigan State Broad</t>
        </is>
      </c>
      <c r="B296" s="140" t="inlineStr">
        <is>
          <t>Management</t>
        </is>
      </c>
      <c r="C296" s="140" t="n">
        <v>16</v>
      </c>
      <c r="D296" s="140" t="n">
        <v>18</v>
      </c>
      <c r="E296" s="140" t="inlineStr">
        <is>
          <t>Close (±1-2)</t>
        </is>
      </c>
    </row>
    <row r="297" ht="15" customHeight="1" s="91">
      <c r="A297" s="140" t="inlineStr">
        <is>
          <t>Michigan State Broad</t>
        </is>
      </c>
      <c r="B297" s="140" t="inlineStr">
        <is>
          <t>Marketing</t>
        </is>
      </c>
      <c r="C297" s="140" t="n">
        <v>17</v>
      </c>
      <c r="D297" s="140" t="n">
        <v>17</v>
      </c>
      <c r="E297" s="140" t="inlineStr">
        <is>
          <t>Confirmed</t>
        </is>
      </c>
    </row>
    <row r="298" ht="15" customHeight="1" s="91">
      <c r="A298" s="140" t="inlineStr">
        <is>
          <t>Michigan State Broad</t>
        </is>
      </c>
      <c r="B298" s="140" t="inlineStr">
        <is>
          <t>Supply Chain Management</t>
        </is>
      </c>
      <c r="C298" s="140" t="n">
        <v>14</v>
      </c>
      <c r="D298" s="140" t="n">
        <v>16</v>
      </c>
      <c r="E298" s="140" t="inlineStr">
        <is>
          <t>Close (±1-2)</t>
        </is>
      </c>
    </row>
    <row r="299" ht="15" customHeight="1" s="91">
      <c r="A299" s="140" t="inlineStr">
        <is>
          <t>Minnesota Carlson</t>
        </is>
      </c>
      <c r="B299" s="140" t="inlineStr">
        <is>
          <t>Work &amp; Organizations</t>
        </is>
      </c>
      <c r="C299" s="140" t="n">
        <v>13</v>
      </c>
      <c r="D299" s="140" t="n">
        <v>14</v>
      </c>
      <c r="E299" s="140" t="inlineStr">
        <is>
          <t>Close (±1-2)</t>
        </is>
      </c>
    </row>
    <row r="300" ht="15" customHeight="1" s="91">
      <c r="A300" s="140" t="inlineStr">
        <is>
          <t>Notre Dame Mendoza</t>
        </is>
      </c>
      <c r="B300" s="140" t="inlineStr">
        <is>
          <t>Business Ethics and Society</t>
        </is>
      </c>
      <c r="C300" s="140" t="n">
        <v>4</v>
      </c>
      <c r="D300" s="140" t="n">
        <v>4</v>
      </c>
      <c r="E300" s="140" t="inlineStr">
        <is>
          <t>Confirmed</t>
        </is>
      </c>
    </row>
    <row r="301" ht="15" customHeight="1" s="91">
      <c r="A301" s="140" t="inlineStr">
        <is>
          <t>Ohio State Fisher</t>
        </is>
      </c>
      <c r="B301" s="140" t="inlineStr">
        <is>
          <t>Accounting &amp; MIS</t>
        </is>
      </c>
      <c r="C301" s="140" t="n">
        <v>8</v>
      </c>
      <c r="D301" s="140" t="n">
        <v>18</v>
      </c>
      <c r="E301" s="140" t="inlineStr">
        <is>
          <t>Discrepancy</t>
        </is>
      </c>
    </row>
    <row r="302" ht="15" customHeight="1" s="91">
      <c r="A302" s="140" t="inlineStr">
        <is>
          <t>Ohio State Fisher</t>
        </is>
      </c>
      <c r="B302" s="140" t="inlineStr">
        <is>
          <t>Operations and Business Analytics</t>
        </is>
      </c>
      <c r="C302" s="140" t="n">
        <v>13</v>
      </c>
      <c r="D302" s="140" t="n">
        <v>20</v>
      </c>
      <c r="E302" s="140" t="inlineStr">
        <is>
          <t>Discrepancy</t>
        </is>
      </c>
    </row>
    <row r="303" ht="15" customHeight="1" s="91">
      <c r="A303" s="140" t="inlineStr">
        <is>
          <t>Pittsburgh Katz</t>
        </is>
      </c>
      <c r="B303" s="140" t="inlineStr">
        <is>
          <t>Accounting</t>
        </is>
      </c>
      <c r="C303" s="140" t="n">
        <v>8</v>
      </c>
      <c r="D303" s="140" t="n">
        <v>9</v>
      </c>
      <c r="E303" s="140" t="inlineStr">
        <is>
          <t>Close (±1-2)</t>
        </is>
      </c>
    </row>
    <row r="304" ht="15" customHeight="1" s="91">
      <c r="A304" s="140" t="inlineStr">
        <is>
          <t>Pittsburgh Katz</t>
        </is>
      </c>
      <c r="B304" s="140" t="inlineStr">
        <is>
          <t>Business Analytics &amp; Operations</t>
        </is>
      </c>
      <c r="C304" s="140" t="n">
        <v>10</v>
      </c>
      <c r="D304" s="140" t="n">
        <v>9</v>
      </c>
      <c r="E304" s="140" t="inlineStr">
        <is>
          <t>Close (±1-2)</t>
        </is>
      </c>
    </row>
    <row r="305" ht="15" customHeight="1" s="91">
      <c r="A305" s="140" t="inlineStr">
        <is>
          <t>Pittsburgh Katz</t>
        </is>
      </c>
      <c r="B305" s="140" t="inlineStr">
        <is>
          <t>Finance</t>
        </is>
      </c>
      <c r="C305" s="140" t="n">
        <v>10</v>
      </c>
      <c r="D305" s="140" t="n">
        <v>12</v>
      </c>
      <c r="E305" s="140" t="inlineStr">
        <is>
          <t>Close (±1-2)</t>
        </is>
      </c>
    </row>
    <row r="306" ht="15" customHeight="1" s="91">
      <c r="A306" s="140" t="inlineStr">
        <is>
          <t>Pittsburgh Katz</t>
        </is>
      </c>
      <c r="B306" s="140" t="inlineStr">
        <is>
          <t>IS &amp; Technology Management</t>
        </is>
      </c>
      <c r="C306" s="140" t="n">
        <v>8</v>
      </c>
      <c r="D306" s="140" t="n">
        <v>6</v>
      </c>
      <c r="E306" s="140" t="inlineStr">
        <is>
          <t>Close (±1-2)</t>
        </is>
      </c>
    </row>
    <row r="307" ht="15" customHeight="1" s="91">
      <c r="A307" s="140" t="inlineStr">
        <is>
          <t>Pittsburgh Katz</t>
        </is>
      </c>
      <c r="B307" s="140" t="inlineStr">
        <is>
          <t>Marketing &amp; Business Economics</t>
        </is>
      </c>
      <c r="C307" s="140" t="n">
        <v>12</v>
      </c>
      <c r="D307" s="140" t="n">
        <v>13</v>
      </c>
      <c r="E307" s="140" t="inlineStr">
        <is>
          <t>Close (±1-2)</t>
        </is>
      </c>
    </row>
    <row r="308" ht="15" customHeight="1" s="91">
      <c r="A308" s="140" t="inlineStr">
        <is>
          <t>Pittsburgh Katz</t>
        </is>
      </c>
      <c r="B308" s="140" t="inlineStr">
        <is>
          <t>Organizations &amp; Entrepreneurship</t>
        </is>
      </c>
      <c r="C308" s="140" t="n">
        <v>11</v>
      </c>
      <c r="D308" s="140" t="n">
        <v>14</v>
      </c>
      <c r="E308" s="140" t="inlineStr">
        <is>
          <t>Discrepancy</t>
        </is>
      </c>
    </row>
    <row r="309" ht="15" customHeight="1" s="91">
      <c r="A309" s="140" t="inlineStr">
        <is>
          <t>Purdue Daniels</t>
        </is>
      </c>
      <c r="B309" s="140" t="inlineStr">
        <is>
          <t>Accounting</t>
        </is>
      </c>
      <c r="C309" s="140" t="n">
        <v>12</v>
      </c>
      <c r="D309" s="140" t="n">
        <v>13</v>
      </c>
      <c r="E309" s="140" t="inlineStr">
        <is>
          <t>Close (±1-2)</t>
        </is>
      </c>
    </row>
    <row r="310" ht="15" customHeight="1" s="91">
      <c r="A310" s="140" t="inlineStr">
        <is>
          <t>Purdue Daniels</t>
        </is>
      </c>
      <c r="B310" s="140" t="inlineStr">
        <is>
          <t>Economics</t>
        </is>
      </c>
      <c r="C310" s="140" t="n">
        <v>27</v>
      </c>
      <c r="D310" s="140" t="n">
        <v>29</v>
      </c>
      <c r="E310" s="140" t="inlineStr">
        <is>
          <t>Close (±1-2)</t>
        </is>
      </c>
    </row>
    <row r="311" ht="15" customHeight="1" s="91">
      <c r="A311" s="140" t="inlineStr">
        <is>
          <t>Purdue Daniels</t>
        </is>
      </c>
      <c r="B311" s="140" t="inlineStr">
        <is>
          <t>Finance</t>
        </is>
      </c>
      <c r="C311" s="140" t="n">
        <v>14</v>
      </c>
      <c r="D311" s="140" t="n">
        <v>14</v>
      </c>
      <c r="E311" s="140" t="inlineStr">
        <is>
          <t>Confirmed</t>
        </is>
      </c>
    </row>
    <row r="312" ht="15" customHeight="1" s="91">
      <c r="A312" s="140" t="inlineStr">
        <is>
          <t>Purdue Daniels</t>
        </is>
      </c>
      <c r="B312" s="140" t="inlineStr">
        <is>
          <t>MIS/Quantitative Methods</t>
        </is>
      </c>
      <c r="C312" s="140" t="n">
        <v>12</v>
      </c>
      <c r="D312" s="140" t="n">
        <v>16</v>
      </c>
      <c r="E312" s="140" t="inlineStr">
        <is>
          <t>Discrepancy</t>
        </is>
      </c>
    </row>
    <row r="313" ht="15" customHeight="1" s="91">
      <c r="A313" s="140" t="inlineStr">
        <is>
          <t>Purdue Daniels</t>
        </is>
      </c>
      <c r="B313" s="140" t="inlineStr">
        <is>
          <t>Marketing</t>
        </is>
      </c>
      <c r="C313" s="140" t="n">
        <v>8</v>
      </c>
      <c r="D313" s="140" t="n">
        <v>9</v>
      </c>
      <c r="E313" s="140" t="inlineStr">
        <is>
          <t>Close (±1-2)</t>
        </is>
      </c>
    </row>
    <row r="314" ht="15" customHeight="1" s="91">
      <c r="A314" s="140" t="inlineStr">
        <is>
          <t>Purdue Daniels</t>
        </is>
      </c>
      <c r="B314" s="140" t="inlineStr">
        <is>
          <t>Organizational Behavior/HR</t>
        </is>
      </c>
      <c r="C314" s="140" t="n">
        <v>9</v>
      </c>
      <c r="D314" s="140" t="n">
        <v>11</v>
      </c>
      <c r="E314" s="140" t="inlineStr">
        <is>
          <t>Close (±1-2)</t>
        </is>
      </c>
    </row>
    <row r="315" ht="15" customHeight="1" s="91">
      <c r="A315" s="140" t="inlineStr">
        <is>
          <t>Purdue Daniels</t>
        </is>
      </c>
      <c r="B315" s="140" t="inlineStr">
        <is>
          <t>Strategic Management</t>
        </is>
      </c>
      <c r="C315" s="140" t="n">
        <v>15</v>
      </c>
      <c r="D315" s="140" t="n">
        <v>11</v>
      </c>
      <c r="E315" s="140" t="inlineStr">
        <is>
          <t>Discrepancy</t>
        </is>
      </c>
    </row>
    <row r="316" ht="15" customHeight="1" s="91">
      <c r="A316" s="140" t="inlineStr">
        <is>
          <t>Purdue Daniels</t>
        </is>
      </c>
      <c r="B316" s="140" t="inlineStr">
        <is>
          <t>Supply Chain &amp; Operations</t>
        </is>
      </c>
      <c r="C316" s="140" t="n">
        <v>7</v>
      </c>
      <c r="D316" s="140" t="n">
        <v>10</v>
      </c>
      <c r="E316" s="140" t="inlineStr">
        <is>
          <t>Discrepancy</t>
        </is>
      </c>
    </row>
    <row r="317" ht="15" customHeight="1" s="91">
      <c r="A317" s="140" t="inlineStr">
        <is>
          <t>Rice Jones</t>
        </is>
      </c>
      <c r="B317" s="140" t="inlineStr">
        <is>
          <t>Organizational Behavior</t>
        </is>
      </c>
      <c r="C317" s="140" t="n">
        <v>13</v>
      </c>
      <c r="D317" s="140" t="n">
        <v>7</v>
      </c>
      <c r="E317" s="140" t="inlineStr">
        <is>
          <t>Discrepancy</t>
        </is>
      </c>
    </row>
    <row r="318" ht="15" customHeight="1" s="91">
      <c r="A318" s="140" t="inlineStr">
        <is>
          <t>Rice Jones</t>
        </is>
      </c>
      <c r="B318" s="140" t="inlineStr">
        <is>
          <t>Strategy and Environment</t>
        </is>
      </c>
      <c r="C318" s="140" t="n">
        <v>12</v>
      </c>
      <c r="D318" s="140" t="n">
        <v>12</v>
      </c>
      <c r="E318" s="140" t="inlineStr">
        <is>
          <t>Confirmed</t>
        </is>
      </c>
    </row>
    <row r="319" ht="15" customHeight="1" s="91">
      <c r="A319" s="140" t="inlineStr">
        <is>
          <t>Rutgers</t>
        </is>
      </c>
      <c r="B319" s="140" t="inlineStr">
        <is>
          <t>Accounting &amp; Information Systems</t>
        </is>
      </c>
      <c r="C319" s="140" t="n">
        <v>24</v>
      </c>
      <c r="D319" s="140" t="n">
        <v>22</v>
      </c>
      <c r="E319" s="140" t="inlineStr">
        <is>
          <t>Close (±1-2)</t>
        </is>
      </c>
    </row>
    <row r="320" ht="15" customHeight="1" s="91">
      <c r="A320" s="140" t="inlineStr">
        <is>
          <t>Rutgers</t>
        </is>
      </c>
      <c r="B320" s="140" t="inlineStr">
        <is>
          <t>Executive Education</t>
        </is>
      </c>
      <c r="C320" s="140" t="n">
        <v>3</v>
      </c>
      <c r="D320" s="140" t="n">
        <v>3</v>
      </c>
      <c r="E320" s="140" t="inlineStr">
        <is>
          <t>Confirmed</t>
        </is>
      </c>
    </row>
    <row r="321" ht="15" customHeight="1" s="91">
      <c r="A321" s="140" t="inlineStr">
        <is>
          <t>Rutgers</t>
        </is>
      </c>
      <c r="B321" s="140" t="inlineStr">
        <is>
          <t>Finance &amp; Economics</t>
        </is>
      </c>
      <c r="C321" s="140" t="n">
        <v>22</v>
      </c>
      <c r="D321" s="140" t="n">
        <v>22</v>
      </c>
      <c r="E321" s="140" t="inlineStr">
        <is>
          <t>Confirmed</t>
        </is>
      </c>
    </row>
    <row r="322" ht="15" customHeight="1" s="91">
      <c r="A322" s="140" t="inlineStr">
        <is>
          <t>Rutgers</t>
        </is>
      </c>
      <c r="B322" s="140" t="inlineStr">
        <is>
          <t>Management &amp; Global Business</t>
        </is>
      </c>
      <c r="C322" s="140" t="n">
        <v>29</v>
      </c>
      <c r="D322" s="140" t="n">
        <v>21</v>
      </c>
      <c r="E322" s="140" t="inlineStr">
        <is>
          <t>Discrepancy</t>
        </is>
      </c>
    </row>
    <row r="323" ht="15" customHeight="1" s="91">
      <c r="A323" s="140" t="inlineStr">
        <is>
          <t>Rutgers</t>
        </is>
      </c>
      <c r="B323" s="140" t="inlineStr">
        <is>
          <t>Management Science &amp; Information Systems</t>
        </is>
      </c>
      <c r="C323" s="140" t="n">
        <v>17</v>
      </c>
      <c r="D323" s="140" t="n">
        <v>13</v>
      </c>
      <c r="E323" s="140" t="inlineStr">
        <is>
          <t>Discrepancy</t>
        </is>
      </c>
    </row>
    <row r="324" ht="15" customHeight="1" s="91">
      <c r="A324" s="140" t="inlineStr">
        <is>
          <t>Rutgers</t>
        </is>
      </c>
      <c r="B324" s="140" t="inlineStr">
        <is>
          <t>Marketing</t>
        </is>
      </c>
      <c r="C324" s="140" t="n">
        <v>12</v>
      </c>
      <c r="D324" s="140" t="n">
        <v>13</v>
      </c>
      <c r="E324" s="140" t="inlineStr">
        <is>
          <t>Close (±1-2)</t>
        </is>
      </c>
    </row>
    <row r="325" ht="15" customHeight="1" s="91">
      <c r="A325" s="140" t="inlineStr">
        <is>
          <t>Rutgers</t>
        </is>
      </c>
      <c r="B325" s="140" t="inlineStr">
        <is>
          <t>Supply Chain Management</t>
        </is>
      </c>
      <c r="C325" s="140" t="n">
        <v>14</v>
      </c>
      <c r="D325" s="140" t="n">
        <v>14</v>
      </c>
      <c r="E325" s="140" t="inlineStr">
        <is>
          <t>Confirmed</t>
        </is>
      </c>
    </row>
    <row r="326" ht="15" customHeight="1" s="91">
      <c r="A326" s="140" t="inlineStr">
        <is>
          <t>Tennessee Haslam</t>
        </is>
      </c>
      <c r="B326" s="140" t="inlineStr">
        <is>
          <t>Accounting &amp; Information Management</t>
        </is>
      </c>
      <c r="C326" s="140" t="n">
        <v>17</v>
      </c>
      <c r="D326" s="140" t="n">
        <v>16</v>
      </c>
      <c r="E326" s="140" t="inlineStr">
        <is>
          <t>Close (±1-2)</t>
        </is>
      </c>
    </row>
    <row r="327" ht="15" customHeight="1" s="91">
      <c r="A327" s="140" t="inlineStr">
        <is>
          <t>Tennessee Haslam</t>
        </is>
      </c>
      <c r="B327" s="140" t="inlineStr">
        <is>
          <t>Business Analytics &amp; Statistics</t>
        </is>
      </c>
      <c r="C327" s="140" t="n">
        <v>14</v>
      </c>
      <c r="D327" s="140" t="n">
        <v>15</v>
      </c>
      <c r="E327" s="140" t="inlineStr">
        <is>
          <t>Close (±1-2)</t>
        </is>
      </c>
    </row>
    <row r="328" ht="15" customHeight="1" s="91">
      <c r="A328" s="140" t="inlineStr">
        <is>
          <t>Tennessee Haslam</t>
        </is>
      </c>
      <c r="B328" s="140" t="inlineStr">
        <is>
          <t>Economics</t>
        </is>
      </c>
      <c r="C328" s="140" t="n">
        <v>22</v>
      </c>
      <c r="D328" s="140" t="n">
        <v>20</v>
      </c>
      <c r="E328" s="140" t="inlineStr">
        <is>
          <t>Close (±1-2)</t>
        </is>
      </c>
    </row>
    <row r="329" ht="15" customHeight="1" s="91">
      <c r="A329" s="140" t="inlineStr">
        <is>
          <t>Tennessee Haslam</t>
        </is>
      </c>
      <c r="B329" s="140" t="inlineStr">
        <is>
          <t>Finance</t>
        </is>
      </c>
      <c r="C329" s="140" t="n">
        <v>14</v>
      </c>
      <c r="D329" s="140" t="n">
        <v>11</v>
      </c>
      <c r="E329" s="140" t="inlineStr">
        <is>
          <t>Discrepancy</t>
        </is>
      </c>
    </row>
    <row r="330" ht="15" customHeight="1" s="91">
      <c r="A330" s="140" t="inlineStr">
        <is>
          <t>Tennessee Haslam</t>
        </is>
      </c>
      <c r="B330" s="140" t="inlineStr">
        <is>
          <t>Management</t>
        </is>
      </c>
      <c r="C330" s="140" t="n">
        <v>12</v>
      </c>
      <c r="D330" s="140" t="n">
        <v>12</v>
      </c>
      <c r="E330" s="140" t="inlineStr">
        <is>
          <t>Confirmed</t>
        </is>
      </c>
    </row>
    <row r="331" ht="15" customHeight="1" s="91">
      <c r="A331" s="140" t="inlineStr">
        <is>
          <t>Tennessee Haslam</t>
        </is>
      </c>
      <c r="B331" s="140" t="inlineStr">
        <is>
          <t>Marketing</t>
        </is>
      </c>
      <c r="C331" s="140" t="n">
        <v>13</v>
      </c>
      <c r="D331" s="140" t="n">
        <v>14</v>
      </c>
      <c r="E331" s="140" t="inlineStr">
        <is>
          <t>Close (±1-2)</t>
        </is>
      </c>
    </row>
    <row r="332" ht="15" customHeight="1" s="91">
      <c r="A332" s="140" t="inlineStr">
        <is>
          <t>Tennessee Haslam</t>
        </is>
      </c>
      <c r="B332" s="140" t="inlineStr">
        <is>
          <t>Supply Chain Management</t>
        </is>
      </c>
      <c r="C332" s="140" t="n">
        <v>14</v>
      </c>
      <c r="D332" s="140" t="n">
        <v>17</v>
      </c>
      <c r="E332" s="140" t="inlineStr">
        <is>
          <t>Discrepancy</t>
        </is>
      </c>
    </row>
    <row r="333" ht="15" customHeight="1" s="91">
      <c r="A333" s="140" t="inlineStr">
        <is>
          <t>UC Irvine Merage</t>
        </is>
      </c>
      <c r="B333" s="140" t="inlineStr">
        <is>
          <t>Accounting</t>
        </is>
      </c>
      <c r="C333" s="140" t="n">
        <v>7</v>
      </c>
      <c r="D333" s="140" t="n">
        <v>7</v>
      </c>
      <c r="E333" s="140" t="inlineStr">
        <is>
          <t>Confirmed</t>
        </is>
      </c>
    </row>
    <row r="334" ht="15" customHeight="1" s="91">
      <c r="A334" s="140" t="inlineStr">
        <is>
          <t>UC Irvine Merage</t>
        </is>
      </c>
      <c r="B334" s="140" t="inlineStr">
        <is>
          <t>Economics/Public Policy</t>
        </is>
      </c>
      <c r="C334" s="140" t="n">
        <v>2</v>
      </c>
      <c r="D334" s="140" t="n">
        <v>1</v>
      </c>
      <c r="E334" s="140" t="inlineStr">
        <is>
          <t>Close (±1-2)</t>
        </is>
      </c>
    </row>
    <row r="335" ht="15" customHeight="1" s="91">
      <c r="A335" s="140" t="inlineStr">
        <is>
          <t>UC Irvine Merage</t>
        </is>
      </c>
      <c r="B335" s="140" t="inlineStr">
        <is>
          <t>Finance</t>
        </is>
      </c>
      <c r="C335" s="140" t="n">
        <v>7</v>
      </c>
      <c r="D335" s="140" t="n">
        <v>7</v>
      </c>
      <c r="E335" s="140" t="inlineStr">
        <is>
          <t>Confirmed</t>
        </is>
      </c>
    </row>
    <row r="336" ht="15" customHeight="1" s="91">
      <c r="A336" s="140" t="inlineStr">
        <is>
          <t>UC Irvine Merage</t>
        </is>
      </c>
      <c r="B336" s="140" t="inlineStr">
        <is>
          <t>Information Systems</t>
        </is>
      </c>
      <c r="C336" s="140" t="n">
        <v>7</v>
      </c>
      <c r="D336" s="140" t="n">
        <v>7</v>
      </c>
      <c r="E336" s="140" t="inlineStr">
        <is>
          <t>Confirmed</t>
        </is>
      </c>
    </row>
    <row r="337" ht="15" customHeight="1" s="91">
      <c r="A337" s="140" t="inlineStr">
        <is>
          <t>UC Irvine Merage</t>
        </is>
      </c>
      <c r="B337" s="140" t="inlineStr">
        <is>
          <t>Marketing</t>
        </is>
      </c>
      <c r="C337" s="140" t="n">
        <v>8</v>
      </c>
      <c r="D337" s="140" t="n">
        <v>8</v>
      </c>
      <c r="E337" s="140" t="inlineStr">
        <is>
          <t>Confirmed</t>
        </is>
      </c>
    </row>
    <row r="338" ht="15" customHeight="1" s="91">
      <c r="A338" s="140" t="inlineStr">
        <is>
          <t>UC Irvine Merage</t>
        </is>
      </c>
      <c r="B338" s="140" t="inlineStr">
        <is>
          <t>Operations and Decision Technologies</t>
        </is>
      </c>
      <c r="C338" s="140" t="n">
        <v>6</v>
      </c>
      <c r="D338" s="140" t="n">
        <v>6</v>
      </c>
      <c r="E338" s="140" t="inlineStr">
        <is>
          <t>Confirmed</t>
        </is>
      </c>
    </row>
    <row r="339" ht="15" customHeight="1" s="91">
      <c r="A339" s="140" t="inlineStr">
        <is>
          <t>UC Irvine Merage</t>
        </is>
      </c>
      <c r="B339" s="140" t="inlineStr">
        <is>
          <t>Organization and Management</t>
        </is>
      </c>
      <c r="C339" s="140" t="n">
        <v>8</v>
      </c>
      <c r="D339" s="140" t="n">
        <v>7</v>
      </c>
      <c r="E339" s="140" t="inlineStr">
        <is>
          <t>Close (±1-2)</t>
        </is>
      </c>
    </row>
    <row r="340" ht="15" customHeight="1" s="91">
      <c r="A340" s="140" t="inlineStr">
        <is>
          <t>UC Irvine Merage</t>
        </is>
      </c>
      <c r="B340" s="140" t="inlineStr">
        <is>
          <t>Strategy and Entrepreneurship</t>
        </is>
      </c>
      <c r="C340" s="140" t="n">
        <v>5</v>
      </c>
      <c r="D340" s="140" t="n">
        <v>5</v>
      </c>
      <c r="E340" s="140" t="inlineStr">
        <is>
          <t>Confirmed</t>
        </is>
      </c>
    </row>
    <row r="341" ht="15" customHeight="1" s="91">
      <c r="A341" s="140" t="inlineStr">
        <is>
          <t>UCLA Anderson</t>
        </is>
      </c>
      <c r="B341" s="140" t="inlineStr">
        <is>
          <t>Human Resources &amp; Organizational Behavior</t>
        </is>
      </c>
      <c r="C341" s="140" t="n">
        <v>14</v>
      </c>
      <c r="D341" s="140" t="n">
        <v>14</v>
      </c>
      <c r="E341" s="140" t="inlineStr">
        <is>
          <t>Confirmed</t>
        </is>
      </c>
    </row>
    <row r="342" ht="15" customHeight="1" s="91">
      <c r="A342" s="140" t="inlineStr">
        <is>
          <t>USC Marshall</t>
        </is>
      </c>
      <c r="B342" s="140" t="inlineStr">
        <is>
          <t>Entrepreneurship</t>
        </is>
      </c>
      <c r="C342" s="140" t="n">
        <v>2</v>
      </c>
      <c r="D342" s="140" t="n">
        <v>0</v>
      </c>
      <c r="E342" s="140" t="inlineStr">
        <is>
          <t>Close (±1-2)</t>
        </is>
      </c>
    </row>
    <row r="343" ht="15" customHeight="1" s="91">
      <c r="A343" s="140" t="inlineStr">
        <is>
          <t>UVA Darden</t>
        </is>
      </c>
      <c r="B343" s="140" t="inlineStr">
        <is>
          <t>Communication</t>
        </is>
      </c>
      <c r="C343" s="140" t="n">
        <v>5</v>
      </c>
      <c r="D343" s="140" t="n">
        <v>4</v>
      </c>
      <c r="E343" s="140" t="inlineStr">
        <is>
          <t>Close (±1-2)</t>
        </is>
      </c>
    </row>
    <row r="344" ht="15" customHeight="1" s="91">
      <c r="A344" s="140" t="inlineStr">
        <is>
          <t>UVA Darden</t>
        </is>
      </c>
      <c r="B344" s="140" t="inlineStr">
        <is>
          <t>Finance</t>
        </is>
      </c>
      <c r="C344" s="140" t="n">
        <v>13</v>
      </c>
      <c r="D344" s="140" t="n">
        <v>12</v>
      </c>
      <c r="E344" s="140" t="inlineStr">
        <is>
          <t>Close (±1-2)</t>
        </is>
      </c>
    </row>
    <row r="345" ht="15" customHeight="1" s="91">
      <c r="A345" s="140" t="inlineStr">
        <is>
          <t>UVA Darden</t>
        </is>
      </c>
      <c r="B345" s="140" t="inlineStr">
        <is>
          <t>Marketing</t>
        </is>
      </c>
      <c r="C345" s="140" t="n">
        <v>8</v>
      </c>
      <c r="D345" s="140" t="n">
        <v>7</v>
      </c>
      <c r="E345" s="140" t="inlineStr">
        <is>
          <t>Close (±1-2)</t>
        </is>
      </c>
    </row>
    <row r="346" ht="15" customHeight="1" s="91">
      <c r="A346" s="140" t="inlineStr">
        <is>
          <t>UW Foster</t>
        </is>
      </c>
      <c r="B346" s="140" t="inlineStr">
        <is>
          <t>Business Ethics</t>
        </is>
      </c>
      <c r="C346" s="140" t="n">
        <v>1</v>
      </c>
      <c r="D346" s="140" t="n">
        <v>1</v>
      </c>
      <c r="E346" s="140" t="inlineStr">
        <is>
          <t>Confirmed</t>
        </is>
      </c>
    </row>
    <row r="347" ht="15" customHeight="1" s="91">
      <c r="A347" s="140" t="inlineStr">
        <is>
          <t>UW Foster</t>
        </is>
      </c>
      <c r="B347" s="140" t="inlineStr">
        <is>
          <t>Quantitative Methods</t>
        </is>
      </c>
      <c r="C347" s="140" t="n">
        <v>1</v>
      </c>
      <c r="D347" s="140" t="n">
        <v>1</v>
      </c>
      <c r="E347" s="140" t="inlineStr">
        <is>
          <t>Confirmed</t>
        </is>
      </c>
    </row>
    <row r="348" ht="15" customHeight="1" s="91">
      <c r="A348" s="140" t="inlineStr">
        <is>
          <t>UW Foster</t>
        </is>
      </c>
      <c r="B348" s="140" t="inlineStr">
        <is>
          <t>Strategy and Entrepreneurship</t>
        </is>
      </c>
      <c r="C348" s="140" t="n">
        <v>3</v>
      </c>
      <c r="D348" s="140" t="n">
        <v>3</v>
      </c>
      <c r="E348" s="140" t="inlineStr">
        <is>
          <t>Confirmed</t>
        </is>
      </c>
    </row>
    <row r="349" ht="15" customHeight="1" s="91">
      <c r="A349" s="140" t="inlineStr">
        <is>
          <t>Utah Eccles</t>
        </is>
      </c>
      <c r="B349" s="140" t="inlineStr">
        <is>
          <t>Entrepreneurship &amp; Strategy</t>
        </is>
      </c>
      <c r="C349" s="140" t="n">
        <v>12</v>
      </c>
      <c r="D349" s="140" t="n">
        <v>13</v>
      </c>
      <c r="E349" s="140" t="inlineStr">
        <is>
          <t>Close (±1-2)</t>
        </is>
      </c>
    </row>
    <row r="350" ht="15" customHeight="1" s="91">
      <c r="A350" s="140" t="inlineStr">
        <is>
          <t>Utah Eccles</t>
        </is>
      </c>
      <c r="B350" s="140" t="inlineStr">
        <is>
          <t>Finance</t>
        </is>
      </c>
      <c r="C350" s="140" t="n">
        <v>14</v>
      </c>
      <c r="D350" s="140" t="n">
        <v>14</v>
      </c>
      <c r="E350" s="140" t="inlineStr">
        <is>
          <t>Confirmed</t>
        </is>
      </c>
    </row>
    <row r="351" ht="15" customHeight="1" s="91">
      <c r="A351" s="140" t="inlineStr">
        <is>
          <t>Utah Eccles</t>
        </is>
      </c>
      <c r="B351" s="140" t="inlineStr">
        <is>
          <t>Management</t>
        </is>
      </c>
      <c r="C351" s="140" t="n">
        <v>10</v>
      </c>
      <c r="D351" s="140" t="n">
        <v>10</v>
      </c>
      <c r="E351" s="140" t="inlineStr">
        <is>
          <t>Confirmed</t>
        </is>
      </c>
    </row>
    <row r="352" ht="15" customHeight="1" s="91">
      <c r="A352" s="140" t="inlineStr">
        <is>
          <t>Utah Eccles</t>
        </is>
      </c>
      <c r="B352" s="140" t="inlineStr">
        <is>
          <t>Marketing</t>
        </is>
      </c>
      <c r="C352" s="140" t="n">
        <v>9</v>
      </c>
      <c r="D352" s="140" t="n">
        <v>9</v>
      </c>
      <c r="E352" s="140" t="inlineStr">
        <is>
          <t>Confirmed</t>
        </is>
      </c>
    </row>
    <row r="353" ht="15" customHeight="1" s="91">
      <c r="A353" s="140" t="inlineStr">
        <is>
          <t>Utah Eccles</t>
        </is>
      </c>
      <c r="B353" s="140" t="inlineStr">
        <is>
          <t>Operations &amp; Information Systems</t>
        </is>
      </c>
      <c r="C353" s="140" t="n">
        <v>12</v>
      </c>
      <c r="D353" s="140" t="n">
        <v>11</v>
      </c>
      <c r="E353" s="140" t="inlineStr">
        <is>
          <t>Close (±1-2)</t>
        </is>
      </c>
    </row>
    <row r="354" ht="15" customHeight="1" s="91">
      <c r="A354" s="140" t="inlineStr">
        <is>
          <t>Utah Eccles</t>
        </is>
      </c>
      <c r="B354" s="140" t="inlineStr">
        <is>
          <t>Quantitative Analysis</t>
        </is>
      </c>
      <c r="C354" s="140" t="n">
        <v>3</v>
      </c>
      <c r="D354" s="140" t="n">
        <v>9</v>
      </c>
      <c r="E354" s="140" t="inlineStr">
        <is>
          <t>Discrepancy</t>
        </is>
      </c>
    </row>
    <row r="355" ht="15" customHeight="1" s="91">
      <c r="A355" s="140" t="inlineStr">
        <is>
          <t>Utah Eccles</t>
        </is>
      </c>
      <c r="B355" s="140" t="inlineStr">
        <is>
          <t>School of Accounting</t>
        </is>
      </c>
      <c r="C355" s="140" t="n">
        <v>10</v>
      </c>
      <c r="D355" s="140" t="n">
        <v>10</v>
      </c>
      <c r="E355" s="140" t="inlineStr">
        <is>
          <t>Confirmed</t>
        </is>
      </c>
    </row>
    <row r="356" ht="15" customHeight="1" s="91">
      <c r="A356" s="140" t="inlineStr">
        <is>
          <t>Vanderbilt Owen</t>
        </is>
      </c>
      <c r="B356" s="140" t="inlineStr">
        <is>
          <t>Health Care</t>
        </is>
      </c>
      <c r="C356" s="140" t="n">
        <v>1</v>
      </c>
      <c r="D356" s="140" t="n">
        <v>1</v>
      </c>
      <c r="E356" s="140" t="inlineStr">
        <is>
          <t>Confirmed</t>
        </is>
      </c>
    </row>
    <row r="357" ht="15" customHeight="1" s="91">
      <c r="A357" s="140" t="inlineStr">
        <is>
          <t>WashU Olin</t>
        </is>
      </c>
      <c r="B357" s="140" t="inlineStr">
        <is>
          <t>Management &amp; Organizations</t>
        </is>
      </c>
      <c r="C357" s="140" t="n">
        <v>8</v>
      </c>
      <c r="D357" s="140" t="n">
        <v>12</v>
      </c>
      <c r="E357" s="140" t="inlineStr">
        <is>
          <t>Discrepancy</t>
        </is>
      </c>
    </row>
    <row r="358" ht="15" customHeight="1" s="91">
      <c r="A358" s="140" t="inlineStr">
        <is>
          <t>Yale SOM</t>
        </is>
      </c>
      <c r="B358" s="140" t="inlineStr">
        <is>
          <t>Management</t>
        </is>
      </c>
      <c r="C358" s="140" t="n">
        <v>7</v>
      </c>
      <c r="D358" s="140" t="n">
        <v>7</v>
      </c>
      <c r="E358" s="140" t="inlineStr">
        <is>
          <t>Confirmed</t>
        </is>
      </c>
    </row>
    <row r="360" ht="15" customHeight="1" s="91">
      <c r="A360" s="141" t="inlineStr">
        <is>
          <t>Additional Reconciliation (Improved Matching)</t>
        </is>
      </c>
    </row>
    <row r="361" ht="15" customHeight="1" s="91">
      <c r="A361" s="140" t="inlineStr">
        <is>
          <t>Additional faculty count corrections: 35</t>
        </is>
      </c>
    </row>
    <row r="362" ht="15" customHeight="1" s="91">
      <c r="A362" s="140" t="inlineStr">
        <is>
          <t>Additional _DeptLookup updates: 46</t>
        </is>
      </c>
    </row>
    <row r="363" ht="15" customHeight="1" s="91">
      <c r="A363" s="140" t="inlineStr">
        <is>
          <t>Additional school total updates: 4</t>
        </is>
      </c>
    </row>
    <row r="365" ht="15" customHeight="1" s="91">
      <c r="A365" s="142" t="inlineStr">
        <is>
          <t>School</t>
        </is>
      </c>
      <c r="B365" s="142" t="inlineStr">
        <is>
          <t>Department</t>
        </is>
      </c>
      <c r="C365" s="142" t="inlineStr">
        <is>
          <t>Old Count</t>
        </is>
      </c>
      <c r="D365" s="142" t="inlineStr">
        <is>
          <t>New Count</t>
        </is>
      </c>
      <c r="E365" s="142" t="inlineStr">
        <is>
          <t>Diff</t>
        </is>
      </c>
      <c r="F365" s="142" t="inlineStr">
        <is>
          <t>Verification Status</t>
        </is>
      </c>
      <c r="G365" s="142" t="inlineStr">
        <is>
          <t>Notes</t>
        </is>
      </c>
    </row>
    <row r="366" ht="15" customHeight="1" s="91">
      <c r="A366" s="140" t="inlineStr">
        <is>
          <t>BU Questrom</t>
        </is>
      </c>
      <c r="B366" s="140" t="inlineStr">
        <is>
          <t>Markets, Public Policy &amp; Law</t>
        </is>
      </c>
      <c r="C366" s="143" t="inlineStr">
        <is>
          <t>N/A</t>
        </is>
      </c>
      <c r="D366" s="143" t="n">
        <v>12</v>
      </c>
      <c r="E366" s="177" t="n">
        <v>0</v>
      </c>
      <c r="F366" s="140" t="inlineStr">
        <is>
          <t>Close (±1-2)</t>
        </is>
      </c>
      <c r="G366" s="140" t="inlineStr">
        <is>
          <t>File: 10, Verified: 12 (under by 2). DISCREPANCY: Claimed 10, verified 12 TT. TT faculty: Sarah Armi</t>
        </is>
      </c>
    </row>
    <row r="367" ht="15" customHeight="1" s="91">
      <c r="A367" s="145" t="inlineStr">
        <is>
          <t>Cornell Johnson</t>
        </is>
      </c>
      <c r="B367" s="145" t="inlineStr">
        <is>
          <t>Accounting</t>
        </is>
      </c>
      <c r="C367" s="144" t="n">
        <v>5</v>
      </c>
      <c r="D367" s="144" t="n">
        <v>14</v>
      </c>
      <c r="E367" s="175" t="n">
        <v>9</v>
      </c>
      <c r="F367" s="145" t="inlineStr">
        <is>
          <t>Close (±1-2)</t>
        </is>
      </c>
      <c r="G367" s="145" t="inlineStr">
        <is>
          <t>File: 12, Verified: 14 (under by 2). Area page lists 19 total; 14 TT after excluding Godwin (Prof of</t>
        </is>
      </c>
    </row>
    <row r="368" ht="15" customHeight="1" s="91">
      <c r="A368" s="140" t="inlineStr">
        <is>
          <t>Cornell Johnson</t>
        </is>
      </c>
      <c r="B368" s="140" t="inlineStr">
        <is>
          <t>Applied Economics &amp; Policy</t>
        </is>
      </c>
      <c r="C368" s="143" t="n">
        <v>5</v>
      </c>
      <c r="D368" s="143" t="n">
        <v>25</v>
      </c>
      <c r="E368" s="173" t="n">
        <v>20</v>
      </c>
      <c r="F368" s="140" t="inlineStr">
        <is>
          <t>Confirmed</t>
        </is>
      </c>
      <c r="G368" s="140" t="inlineStr">
        <is>
          <t>Exact match. AEP area has 62 active + 28 emeriti/affiliated. Area page says 'over 40 SC Johnson facu</t>
        </is>
      </c>
    </row>
    <row r="369" ht="15" customHeight="1" s="91">
      <c r="A369" s="145" t="inlineStr">
        <is>
          <t>Cornell Johnson</t>
        </is>
      </c>
      <c r="B369" s="145" t="inlineStr">
        <is>
          <t>Finance</t>
        </is>
      </c>
      <c r="C369" s="144" t="n">
        <v>5</v>
      </c>
      <c r="D369" s="144" t="n">
        <v>24</v>
      </c>
      <c r="E369" s="175" t="n">
        <v>19</v>
      </c>
      <c r="F369" s="145" t="inlineStr">
        <is>
          <t>Discrepancy</t>
        </is>
      </c>
      <c r="G369" s="145" t="inlineStr">
        <is>
          <t>File: 28, Verified: 24 (over by 4). Finance area page explicitly states '24 TT professors and 8 teac</t>
        </is>
      </c>
    </row>
    <row r="370" ht="15" customHeight="1" s="91">
      <c r="A370" s="140" t="inlineStr">
        <is>
          <t>Cornell Johnson</t>
        </is>
      </c>
      <c r="B370" s="140" t="inlineStr">
        <is>
          <t>Management &amp; Organizations</t>
        </is>
      </c>
      <c r="C370" s="143" t="n">
        <v>5</v>
      </c>
      <c r="D370" s="143" t="n">
        <v>27</v>
      </c>
      <c r="E370" s="173" t="n">
        <v>22</v>
      </c>
      <c r="F370" s="140" t="inlineStr">
        <is>
          <t>Discrepancy</t>
        </is>
      </c>
      <c r="G370" s="140" t="inlineStr">
        <is>
          <t xml:space="preserve">File: 19, Verified: 27 (under by 8). M&amp;O area page has 42 active members. PhD program page lists 25 </t>
        </is>
      </c>
    </row>
    <row r="371" ht="15" customHeight="1" s="91">
      <c r="A371" s="145" t="inlineStr">
        <is>
          <t>Cornell Johnson</t>
        </is>
      </c>
      <c r="B371" s="145" t="inlineStr">
        <is>
          <t>Marketing</t>
        </is>
      </c>
      <c r="C371" s="144" t="n">
        <v>5</v>
      </c>
      <c r="D371" s="144" t="n">
        <v>22</v>
      </c>
      <c r="E371" s="175" t="n">
        <v>17</v>
      </c>
      <c r="F371" s="145" t="inlineStr">
        <is>
          <t>Close (±1-2)</t>
        </is>
      </c>
      <c r="G371" s="145" t="inlineStr">
        <is>
          <t>File: 24, Verified: 22 (over by 2). Marketing area page has 37 active; many are non-TT (Bohling, Est</t>
        </is>
      </c>
    </row>
    <row r="372" ht="15" customHeight="1" s="91">
      <c r="A372" s="140" t="inlineStr">
        <is>
          <t>Cornell Johnson</t>
        </is>
      </c>
      <c r="B372" s="140" t="inlineStr">
        <is>
          <t>Operations, Technology, and Information Management (OTIM)</t>
        </is>
      </c>
      <c r="C372" s="143" t="n">
        <v>5</v>
      </c>
      <c r="D372" s="143" t="n">
        <v>14</v>
      </c>
      <c r="E372" s="173" t="n">
        <v>9</v>
      </c>
      <c r="F372" s="140" t="inlineStr">
        <is>
          <t>Discrepancy</t>
        </is>
      </c>
      <c r="G372" s="140" t="inlineStr">
        <is>
          <t>File: 24, Verified: 14 (over by 10). OTIM area page has 31 active; many are non-TT (Chervinsky, Gaul</t>
        </is>
      </c>
    </row>
    <row r="373" ht="15" customHeight="1" s="91">
      <c r="A373" s="145" t="inlineStr">
        <is>
          <t>Dartmouth Tuck</t>
        </is>
      </c>
      <c r="B373" s="145" t="inlineStr">
        <is>
          <t>Strategic Management</t>
        </is>
      </c>
      <c r="C373" s="144" t="n">
        <v>4</v>
      </c>
      <c r="D373" s="144" t="n">
        <v>7</v>
      </c>
      <c r="E373" s="175" t="n">
        <v>3</v>
      </c>
      <c r="F373" s="145" t="inlineStr">
        <is>
          <t>Close (±1-2)</t>
        </is>
      </c>
      <c r="G373" s="145" t="inlineStr">
        <is>
          <t>File: 8, Verified: 7 (diff: -1)</t>
        </is>
      </c>
    </row>
    <row r="374" ht="15" customHeight="1" s="91">
      <c r="A374" s="140" t="inlineStr">
        <is>
          <t>GT Scheller</t>
        </is>
      </c>
      <c r="B374" s="140" t="inlineStr">
        <is>
          <t>Information Technology Management</t>
        </is>
      </c>
      <c r="C374" s="143" t="n">
        <v>5</v>
      </c>
      <c r="D374" s="143" t="n">
        <v>12</v>
      </c>
      <c r="E374" s="173" t="n">
        <v>7</v>
      </c>
      <c r="F374" s="140" t="inlineStr">
        <is>
          <t>Discrepancy</t>
        </is>
      </c>
      <c r="G374" s="140" t="inlineStr">
        <is>
          <t>File: 9, Verified: 12 (diff: +3). 12 found; +3</t>
        </is>
      </c>
    </row>
    <row r="375" ht="15" customHeight="1" s="91">
      <c r="A375" s="145" t="inlineStr">
        <is>
          <t>Georgetown MSOB</t>
        </is>
      </c>
      <c r="B375" s="145" t="inlineStr">
        <is>
          <t>Accounting &amp; Business Law</t>
        </is>
      </c>
      <c r="C375" s="144" t="n">
        <v>8</v>
      </c>
      <c r="D375" s="144" t="n">
        <v>9</v>
      </c>
      <c r="E375" s="175" t="n">
        <v>1</v>
      </c>
      <c r="F375" s="145" t="inlineStr">
        <is>
          <t>Confirmed</t>
        </is>
      </c>
      <c r="G375" s="145" t="inlineStr">
        <is>
          <t>Exact match with verified count</t>
        </is>
      </c>
    </row>
    <row r="376" ht="15" customHeight="1" s="91">
      <c r="A376" s="140" t="inlineStr">
        <is>
          <t>Georgetown MSOB</t>
        </is>
      </c>
      <c r="B376" s="140" t="inlineStr">
        <is>
          <t>Finance</t>
        </is>
      </c>
      <c r="C376" s="143" t="n">
        <v>9</v>
      </c>
      <c r="D376" s="143" t="n">
        <v>17</v>
      </c>
      <c r="E376" s="173" t="n">
        <v>8</v>
      </c>
      <c r="F376" s="140" t="inlineStr">
        <is>
          <t>Close (±1-2)</t>
        </is>
      </c>
      <c r="G376" s="140" t="inlineStr">
        <is>
          <t>File: 15, Verified: 17 (diff: +2)</t>
        </is>
      </c>
    </row>
    <row r="377" ht="15" customHeight="1" s="91">
      <c r="A377" s="145" t="inlineStr">
        <is>
          <t>Georgetown MSOB</t>
        </is>
      </c>
      <c r="B377" s="145" t="inlineStr">
        <is>
          <t>Management</t>
        </is>
      </c>
      <c r="C377" s="144" t="n">
        <v>8</v>
      </c>
      <c r="D377" s="144" t="n">
        <v>11</v>
      </c>
      <c r="E377" s="175" t="n">
        <v>3</v>
      </c>
      <c r="F377" s="145" t="inlineStr">
        <is>
          <t>Confirmed</t>
        </is>
      </c>
      <c r="G377" s="145" t="inlineStr">
        <is>
          <t>Exact match with verified count</t>
        </is>
      </c>
    </row>
    <row r="378" ht="15" customHeight="1" s="91">
      <c r="A378" s="140" t="inlineStr">
        <is>
          <t>Georgetown MSOB</t>
        </is>
      </c>
      <c r="B378" s="140" t="inlineStr">
        <is>
          <t>Marketing</t>
        </is>
      </c>
      <c r="C378" s="143" t="n">
        <v>8</v>
      </c>
      <c r="D378" s="143" t="n">
        <v>12</v>
      </c>
      <c r="E378" s="173" t="n">
        <v>4</v>
      </c>
      <c r="F378" s="140" t="inlineStr">
        <is>
          <t>Confirmed</t>
        </is>
      </c>
      <c r="G378" s="140" t="inlineStr">
        <is>
          <t>Exact match with verified count</t>
        </is>
      </c>
    </row>
    <row r="379" ht="15" customHeight="1" s="91">
      <c r="A379" s="145" t="inlineStr">
        <is>
          <t>Georgetown MSOB</t>
        </is>
      </c>
      <c r="B379" s="145" t="inlineStr">
        <is>
          <t>Operations and Analytics (OPAN)</t>
        </is>
      </c>
      <c r="C379" s="144" t="n">
        <v>7</v>
      </c>
      <c r="D379" s="144" t="n">
        <v>16</v>
      </c>
      <c r="E379" s="175" t="n">
        <v>9</v>
      </c>
      <c r="F379" s="145" t="inlineStr">
        <is>
          <t>Close (±1-2)</t>
        </is>
      </c>
      <c r="G379" s="145" t="inlineStr">
        <is>
          <t>File: 14, Verified: 16 (diff: +2)</t>
        </is>
      </c>
    </row>
    <row r="380" ht="15" customHeight="1" s="91">
      <c r="A380" s="140" t="inlineStr">
        <is>
          <t>Indiana Kelley</t>
        </is>
      </c>
      <c r="B380" s="140" t="inlineStr">
        <is>
          <t>Operations &amp; Decision Technologies (ODT)</t>
        </is>
      </c>
      <c r="C380" s="143" t="n">
        <v>5</v>
      </c>
      <c r="D380" s="143" t="n">
        <v>37</v>
      </c>
      <c r="E380" s="173" t="n">
        <v>32</v>
      </c>
      <c r="F380" s="140" t="inlineStr">
        <is>
          <t>Close (±1-2)</t>
        </is>
      </c>
      <c r="G380" s="140" t="inlineStr">
        <is>
          <t>File: 39, Verified: 37 (over by 2). HH 4100 (ODT office): Bae, Bala, G. Ball, Blocher, Brendel, Bret</t>
        </is>
      </c>
    </row>
    <row r="381" ht="15" customHeight="1" s="91">
      <c r="A381" s="145" t="inlineStr">
        <is>
          <t>Ohio State Fisher</t>
        </is>
      </c>
      <c r="B381" s="145" t="inlineStr">
        <is>
          <t>Accounting &amp; Management Information Systems</t>
        </is>
      </c>
      <c r="C381" s="144" t="n">
        <v>7</v>
      </c>
      <c r="D381" s="144" t="n">
        <v>18</v>
      </c>
      <c r="E381" s="175" t="n">
        <v>11</v>
      </c>
      <c r="F381" s="145" t="inlineStr">
        <is>
          <t>Discrepancy</t>
        </is>
      </c>
      <c r="G381" s="145" t="inlineStr">
        <is>
          <t>File: 8, Verified: 18 (diff: +10). 18 found; claimed 8 appears to be severe undercount</t>
        </is>
      </c>
    </row>
    <row r="382" ht="15" customHeight="1" s="91">
      <c r="A382" s="140" t="inlineStr">
        <is>
          <t>Ohio State Fisher</t>
        </is>
      </c>
      <c r="B382" s="140" t="inlineStr">
        <is>
          <t>Management Sciences</t>
        </is>
      </c>
      <c r="C382" s="143" t="n">
        <v>8</v>
      </c>
      <c r="D382" s="143" t="n">
        <v>20</v>
      </c>
      <c r="E382" s="173" t="n">
        <v>12</v>
      </c>
      <c r="F382" s="140" t="inlineStr">
        <is>
          <t>Discrepancy</t>
        </is>
      </c>
      <c r="G382" s="140" t="inlineStr">
        <is>
          <t>File: 13, Verified: 20 (diff: +7). 20 found; claimed 13 appears to be undercount</t>
        </is>
      </c>
    </row>
    <row r="383" ht="15" customHeight="1" s="91">
      <c r="A383" s="145" t="inlineStr">
        <is>
          <t>Pitt Katz</t>
        </is>
      </c>
      <c r="B383" s="145" t="inlineStr">
        <is>
          <t>Accounting</t>
        </is>
      </c>
      <c r="C383" s="144" t="n">
        <v>7</v>
      </c>
      <c r="D383" s="144" t="n">
        <v>9</v>
      </c>
      <c r="E383" s="175" t="n">
        <v>2</v>
      </c>
      <c r="F383" s="145" t="inlineStr">
        <is>
          <t>Close (±1-2)</t>
        </is>
      </c>
      <c r="G383" s="145" t="inlineStr">
        <is>
          <t>File: 8, Verified: 9 (diff: +1)</t>
        </is>
      </c>
    </row>
    <row r="384" ht="15" customHeight="1" s="91">
      <c r="A384" s="140" t="inlineStr">
        <is>
          <t>Pitt Katz</t>
        </is>
      </c>
      <c r="B384" s="140" t="inlineStr">
        <is>
          <t>Business Analytics &amp; Operations (BAO)</t>
        </is>
      </c>
      <c r="C384" s="143" t="n">
        <v>7</v>
      </c>
      <c r="D384" s="143" t="n">
        <v>9</v>
      </c>
      <c r="E384" s="173" t="n">
        <v>2</v>
      </c>
      <c r="F384" s="140" t="inlineStr">
        <is>
          <t>Close (±1-2)</t>
        </is>
      </c>
      <c r="G384" s="140" t="inlineStr">
        <is>
          <t>File: 10, Verified: 9 (diff: -1)</t>
        </is>
      </c>
    </row>
    <row r="385" ht="15" customHeight="1" s="91">
      <c r="A385" s="145" t="inlineStr">
        <is>
          <t>Pitt Katz</t>
        </is>
      </c>
      <c r="B385" s="145" t="inlineStr">
        <is>
          <t>Business Analytics and Operations</t>
        </is>
      </c>
      <c r="C385" s="144" t="n">
        <v>7</v>
      </c>
      <c r="D385" s="144" t="n">
        <v>9</v>
      </c>
      <c r="E385" s="175" t="n">
        <v>2</v>
      </c>
      <c r="F385" s="145" t="inlineStr">
        <is>
          <t>Close (±1-2)</t>
        </is>
      </c>
      <c r="G385" s="145" t="inlineStr">
        <is>
          <t>File: 10, Verified: 9 (diff: -1)</t>
        </is>
      </c>
    </row>
    <row r="386" ht="15" customHeight="1" s="91">
      <c r="A386" s="140" t="inlineStr">
        <is>
          <t>Pitt Katz</t>
        </is>
      </c>
      <c r="B386" s="140" t="inlineStr">
        <is>
          <t>Finance</t>
        </is>
      </c>
      <c r="C386" s="143" t="n">
        <v>8</v>
      </c>
      <c r="D386" s="143" t="n">
        <v>12</v>
      </c>
      <c r="E386" s="173" t="n">
        <v>4</v>
      </c>
      <c r="F386" s="140" t="inlineStr">
        <is>
          <t>Close (±1-2)</t>
        </is>
      </c>
      <c r="G386" s="140" t="inlineStr">
        <is>
          <t>File: 10, Verified: 12 (diff: +2)</t>
        </is>
      </c>
    </row>
    <row r="387" ht="15" customHeight="1" s="91">
      <c r="A387" s="145" t="inlineStr">
        <is>
          <t>Pitt Katz</t>
        </is>
      </c>
      <c r="B387" s="145" t="inlineStr">
        <is>
          <t>Information Systems and Technology Management</t>
        </is>
      </c>
      <c r="C387" s="144" t="n">
        <v>7</v>
      </c>
      <c r="D387" s="144" t="n">
        <v>6</v>
      </c>
      <c r="E387" s="176" t="n">
        <v>-1</v>
      </c>
      <c r="F387" s="145" t="inlineStr">
        <is>
          <t>Close (±1-2)</t>
        </is>
      </c>
      <c r="G387" s="145" t="inlineStr">
        <is>
          <t>File: 8, Verified: 6 (over by 2). DISCREPANCY: Claimed 8, verified 6 TT. TT faculty: Xiaomeng Chen (</t>
        </is>
      </c>
    </row>
    <row r="388" ht="15" customHeight="1" s="91">
      <c r="A388" s="140" t="inlineStr">
        <is>
          <t>Purdue Krannert</t>
        </is>
      </c>
      <c r="B388" s="140" t="inlineStr">
        <is>
          <t>Accounting</t>
        </is>
      </c>
      <c r="C388" s="143" t="n">
        <v>9</v>
      </c>
      <c r="D388" s="143" t="n">
        <v>13</v>
      </c>
      <c r="E388" s="173" t="n">
        <v>4</v>
      </c>
      <c r="F388" s="140" t="inlineStr">
        <is>
          <t>Close (±1-2)</t>
        </is>
      </c>
      <c r="G388" s="140" t="inlineStr">
        <is>
          <t>File: 12, Verified: 13 (under by 1). Counted 13 TT Professors/Assoc Profs/Asst Profs. Excluded: 3 Le</t>
        </is>
      </c>
    </row>
    <row r="389" ht="15" customHeight="1" s="91">
      <c r="A389" s="145" t="inlineStr">
        <is>
          <t>Purdue Krannert</t>
        </is>
      </c>
      <c r="B389" s="145" t="inlineStr">
        <is>
          <t>Economics</t>
        </is>
      </c>
      <c r="C389" s="144" t="n">
        <v>9</v>
      </c>
      <c r="D389" s="144" t="n">
        <v>29</v>
      </c>
      <c r="E389" s="175" t="n">
        <v>20</v>
      </c>
      <c r="F389" s="145" t="inlineStr">
        <is>
          <t>Close (±1-2)</t>
        </is>
      </c>
      <c r="G389" s="145" t="inlineStr">
        <is>
          <t>File: 27, Verified: 29 (under by 2). Counted 29 TT from both pages. Bullard (Dean + Distinguished Pr</t>
        </is>
      </c>
    </row>
    <row r="390" ht="15" customHeight="1" s="91">
      <c r="A390" s="140" t="inlineStr">
        <is>
          <t>Purdue Krannert</t>
        </is>
      </c>
      <c r="B390" s="140" t="inlineStr">
        <is>
          <t>Finance</t>
        </is>
      </c>
      <c r="C390" s="143" t="n">
        <v>12</v>
      </c>
      <c r="D390" s="143" t="n">
        <v>14</v>
      </c>
      <c r="E390" s="173" t="n">
        <v>2</v>
      </c>
      <c r="F390" s="140" t="inlineStr">
        <is>
          <t>Confirmed</t>
        </is>
      </c>
      <c r="G390" s="140" t="inlineStr">
        <is>
          <t>Exact match. Counted 14 TT Professors/Assoc/Asst. Excluded: 3 Clinical, 3 Lecturers/Limited Term Lec</t>
        </is>
      </c>
    </row>
    <row r="391" ht="15" customHeight="1" s="91">
      <c r="A391" s="145" t="inlineStr">
        <is>
          <t>Purdue Krannert</t>
        </is>
      </c>
      <c r="B391" s="145" t="inlineStr">
        <is>
          <t>Marketing</t>
        </is>
      </c>
      <c r="C391" s="144" t="n">
        <v>11</v>
      </c>
      <c r="D391" s="144" t="n">
        <v>9</v>
      </c>
      <c r="E391" s="176" t="n">
        <v>-2</v>
      </c>
      <c r="F391" s="145" t="inlineStr">
        <is>
          <t>Close (±1-2)</t>
        </is>
      </c>
      <c r="G391" s="145" t="inlineStr">
        <is>
          <t xml:space="preserve">File: 8, Verified: 9 (under by 1). Counted 9 TT: Berbeglia, Dai, Huang, Jo, Liu Q., Rossi, Sisodia, </t>
        </is>
      </c>
    </row>
    <row r="392" ht="15" customHeight="1" s="91">
      <c r="A392" s="140" t="inlineStr">
        <is>
          <t>Purdue Krannert</t>
        </is>
      </c>
      <c r="B392" s="140" t="inlineStr">
        <is>
          <t>Strategic Management</t>
        </is>
      </c>
      <c r="C392" s="143" t="n">
        <v>9</v>
      </c>
      <c r="D392" s="143" t="n">
        <v>11</v>
      </c>
      <c r="E392" s="173" t="n">
        <v>2</v>
      </c>
      <c r="F392" s="140" t="inlineStr">
        <is>
          <t>Discrepancy</t>
        </is>
      </c>
      <c r="G392" s="140" t="inlineStr">
        <is>
          <t>File: 15, Verified: 11 (over by 4). Counted 11 with primary TT appointment: Biller, Bisui, Brush, By</t>
        </is>
      </c>
    </row>
    <row r="393" ht="15" customHeight="1" s="91">
      <c r="A393" s="145" t="inlineStr">
        <is>
          <t>Rice Jones</t>
        </is>
      </c>
      <c r="B393" s="145" t="inlineStr">
        <is>
          <t>Strategic Management</t>
        </is>
      </c>
      <c r="C393" s="144" t="n">
        <v>7</v>
      </c>
      <c r="D393" s="144" t="n">
        <v>12</v>
      </c>
      <c r="E393" s="175" t="n">
        <v>5</v>
      </c>
      <c r="F393" s="145" t="inlineStr">
        <is>
          <t>Confirmed</t>
        </is>
      </c>
      <c r="G393" s="145" t="inlineStr">
        <is>
          <t>Exact match with verified count</t>
        </is>
      </c>
    </row>
    <row r="394" ht="15" customHeight="1" s="91">
      <c r="A394" s="140" t="inlineStr">
        <is>
          <t>Tulane Freeman</t>
        </is>
      </c>
      <c r="B394" s="140" t="inlineStr">
        <is>
          <t>Management</t>
        </is>
      </c>
      <c r="C394" s="143" t="n">
        <v>9</v>
      </c>
      <c r="D394" s="143" t="n">
        <v>13</v>
      </c>
      <c r="E394" s="173" t="n">
        <v>4</v>
      </c>
      <c r="F394" s="140" t="inlineStr">
        <is>
          <t>Confirmed</t>
        </is>
      </c>
      <c r="G394" s="140" t="inlineStr">
        <is>
          <t>Exact match. TT faculty: Burke, Cioaca, Colella, DeNisi, Higgins, Khanna, King, Longmire, Pillai, Su</t>
        </is>
      </c>
    </row>
    <row r="395" ht="15" customHeight="1" s="91">
      <c r="A395" s="145" t="inlineStr">
        <is>
          <t>UCLA Anderson</t>
        </is>
      </c>
      <c r="B395" s="145" t="inlineStr">
        <is>
          <t>Management &amp; Organizations</t>
        </is>
      </c>
      <c r="C395" s="144" t="n">
        <v>5</v>
      </c>
      <c r="D395" s="144" t="n">
        <v>14</v>
      </c>
      <c r="E395" s="175" t="n">
        <v>9</v>
      </c>
      <c r="F395" s="145" t="inlineStr">
        <is>
          <t>Confirmed</t>
        </is>
      </c>
      <c r="G395" s="145" t="inlineStr">
        <is>
          <t>Exact match with verified count</t>
        </is>
      </c>
    </row>
    <row r="396" ht="15" customHeight="1" s="91">
      <c r="A396" s="140" t="inlineStr">
        <is>
          <t>UVA Darden</t>
        </is>
      </c>
      <c r="B396" s="140" t="inlineStr">
        <is>
          <t>Data Analytics and Decision Sciences (DADS)</t>
        </is>
      </c>
      <c r="C396" s="143" t="n">
        <v>8</v>
      </c>
      <c r="D396" s="143" t="n">
        <v>10</v>
      </c>
      <c r="E396" s="173" t="n">
        <v>2</v>
      </c>
      <c r="F396" s="140" t="inlineStr">
        <is>
          <t>Close (±1-2)</t>
        </is>
      </c>
      <c r="G396" s="140" t="inlineStr">
        <is>
          <t>File: 11, Verified: 10 (diff: -1)</t>
        </is>
      </c>
    </row>
    <row r="397" ht="15" customHeight="1" s="91">
      <c r="A397" s="145" t="inlineStr">
        <is>
          <t>UW Foster</t>
        </is>
      </c>
      <c r="B397" s="145" t="inlineStr">
        <is>
          <t>Information Systems and Operations Management (ISOM)</t>
        </is>
      </c>
      <c r="C397" s="144" t="n">
        <v>8</v>
      </c>
      <c r="D397" s="144" t="n">
        <v>9</v>
      </c>
      <c r="E397" s="175" t="n">
        <v>1</v>
      </c>
      <c r="F397" s="145" t="inlineStr">
        <is>
          <t>Confirmed</t>
        </is>
      </c>
      <c r="G397" s="145" t="inlineStr">
        <is>
          <t xml:space="preserve">Exact match. Counted 9 TT: Ananthakrishnan, Boussioux, W. Chen, Hwang, Lee, Singh, Y. Tan, Y. Wang, </t>
        </is>
      </c>
    </row>
    <row r="398" ht="15" customHeight="1" s="91">
      <c r="A398" s="140" t="inlineStr">
        <is>
          <t>Vanderbilt Owen</t>
        </is>
      </c>
      <c r="B398" s="140" t="inlineStr">
        <is>
          <t>Organization Studies</t>
        </is>
      </c>
      <c r="C398" s="143" t="n">
        <v>5</v>
      </c>
      <c r="D398" s="143" t="n">
        <v>12</v>
      </c>
      <c r="E398" s="173" t="n">
        <v>7</v>
      </c>
      <c r="F398" s="140" t="inlineStr">
        <is>
          <t>Close (±1-2)</t>
        </is>
      </c>
      <c r="G398" s="140" t="inlineStr">
        <is>
          <t>File: 14, Verified: 12 (diff: -2)</t>
        </is>
      </c>
    </row>
    <row r="399" ht="15" customHeight="1" s="91">
      <c r="A399" s="145" t="inlineStr">
        <is>
          <t>WashU Olin</t>
        </is>
      </c>
      <c r="B399" s="145" t="inlineStr">
        <is>
          <t>Organization &amp; Strategic Management</t>
        </is>
      </c>
      <c r="C399" s="144" t="n">
        <v>9</v>
      </c>
      <c r="D399" s="144" t="n">
        <v>12</v>
      </c>
      <c r="E399" s="175" t="n">
        <v>3</v>
      </c>
      <c r="F399" s="145" t="inlineStr">
        <is>
          <t>Discrepancy</t>
        </is>
      </c>
      <c r="G399" s="145" t="inlineStr">
        <is>
          <t>File: 8, Verified: 12 (diff: +4). 12 found; +4</t>
        </is>
      </c>
    </row>
    <row r="400" ht="15" customHeight="1" s="91">
      <c r="A400" s="140" t="inlineStr">
        <is>
          <t>Yale SOM</t>
        </is>
      </c>
      <c r="B400" s="140" t="inlineStr">
        <is>
          <t>Entrepreneurship</t>
        </is>
      </c>
      <c r="C400" s="143" t="n">
        <v>6</v>
      </c>
      <c r="D400" s="143" t="n">
        <v>7</v>
      </c>
      <c r="E400" s="173" t="n">
        <v>1</v>
      </c>
      <c r="F400" s="140" t="inlineStr">
        <is>
          <t>Confirmed</t>
        </is>
      </c>
      <c r="G400" s="140" t="inlineStr">
        <is>
          <t>Exact match with verified count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90" min="1" max="1"/>
    <col width="25" customWidth="1" style="90" min="2" max="2"/>
    <col width="45" customWidth="1" style="90" min="3" max="3"/>
    <col width="12" customWidth="1" style="90" min="4" max="6"/>
    <col width="18" customWidth="1" style="90" min="7" max="7"/>
  </cols>
  <sheetData>
    <row r="1" ht="15" customHeight="1" s="91">
      <c r="A1" s="168" t="inlineStr">
        <is>
          <t>Category</t>
        </is>
      </c>
      <c r="B1" s="168" t="inlineStr">
        <is>
          <t>School</t>
        </is>
      </c>
      <c r="C1" s="168" t="inlineStr">
        <is>
          <t>Department</t>
        </is>
      </c>
      <c r="D1" s="168" t="inlineStr">
        <is>
          <t>Old Value</t>
        </is>
      </c>
      <c r="E1" s="168" t="inlineStr">
        <is>
          <t>New Value</t>
        </is>
      </c>
      <c r="F1" s="168" t="inlineStr">
        <is>
          <t>Difference</t>
        </is>
      </c>
      <c r="G1" s="168" t="inlineStr">
        <is>
          <t>Status</t>
        </is>
      </c>
    </row>
    <row r="2" ht="15" customHeight="1" s="91">
      <c r="A2" s="90" t="inlineStr">
        <is>
          <t>Dept Faculty</t>
        </is>
      </c>
      <c r="B2" s="90" t="inlineStr">
        <is>
          <t>Cornell Johnson</t>
        </is>
      </c>
      <c r="C2" s="90" t="inlineStr">
        <is>
          <t>Strategy &amp; Business Economics</t>
        </is>
      </c>
      <c r="D2" s="90" t="n">
        <v>6</v>
      </c>
      <c r="E2" s="90" t="n">
        <v>25</v>
      </c>
      <c r="F2" s="90" t="n">
        <v>19</v>
      </c>
      <c r="G2" s="90" t="inlineStr">
        <is>
          <t>Confirmed</t>
        </is>
      </c>
    </row>
    <row r="3" ht="15" customHeight="1" s="91">
      <c r="A3" s="90" t="inlineStr">
        <is>
          <t>Dept Faculty</t>
        </is>
      </c>
      <c r="B3" s="90" t="inlineStr">
        <is>
          <t>Dartmouth Tuck</t>
        </is>
      </c>
      <c r="C3" s="90" t="inlineStr">
        <is>
          <t>Strategic Management</t>
        </is>
      </c>
      <c r="D3" s="90" t="n">
        <v>7</v>
      </c>
      <c r="E3" s="90" t="n">
        <v>5</v>
      </c>
      <c r="F3" s="90" t="n">
        <v>-2</v>
      </c>
      <c r="G3" s="90" t="inlineStr">
        <is>
          <t>Confirmed</t>
        </is>
      </c>
    </row>
    <row r="4" ht="15" customHeight="1" s="91">
      <c r="A4" s="90" t="inlineStr">
        <is>
          <t>Dept Faculty</t>
        </is>
      </c>
      <c r="B4" s="90" t="inlineStr">
        <is>
          <t>Duke Fuqua</t>
        </is>
      </c>
      <c r="C4" s="90" t="inlineStr">
        <is>
          <t>Management</t>
        </is>
      </c>
      <c r="D4" s="90" t="n">
        <v>14</v>
      </c>
      <c r="E4" s="90" t="n">
        <v>6</v>
      </c>
      <c r="F4" s="90" t="n">
        <v>-8</v>
      </c>
      <c r="G4" s="90" t="inlineStr">
        <is>
          <t>Confirmed</t>
        </is>
      </c>
    </row>
    <row r="5" ht="15" customHeight="1" s="91">
      <c r="A5" s="90" t="inlineStr">
        <is>
          <t>Dept Faculty</t>
        </is>
      </c>
      <c r="B5" s="90" t="inlineStr">
        <is>
          <t>Purdue Krannert</t>
        </is>
      </c>
      <c r="C5" s="90" t="inlineStr">
        <is>
          <t>Management</t>
        </is>
      </c>
      <c r="D5" s="90" t="n">
        <v>10</v>
      </c>
      <c r="E5" s="90" t="n">
        <v>11</v>
      </c>
      <c r="F5" s="90" t="n">
        <v>1</v>
      </c>
      <c r="G5" s="90" t="inlineStr">
        <is>
          <t>Discrepancy</t>
        </is>
      </c>
    </row>
    <row r="6" ht="15" customHeight="1" s="91">
      <c r="A6" s="90" t="inlineStr">
        <is>
          <t>Dept Faculty</t>
        </is>
      </c>
      <c r="B6" s="90" t="inlineStr">
        <is>
          <t>Purdue Krannert</t>
        </is>
      </c>
      <c r="C6" s="90" t="inlineStr">
        <is>
          <t>Quantitative Methods</t>
        </is>
      </c>
      <c r="D6" s="90" t="n">
        <v>9</v>
      </c>
      <c r="E6" s="90" t="n">
        <v>16</v>
      </c>
      <c r="F6" s="90" t="n">
        <v>7</v>
      </c>
      <c r="G6" s="90" t="inlineStr">
        <is>
          <t>Discrepancy</t>
        </is>
      </c>
    </row>
    <row r="7" ht="15" customHeight="1" s="91">
      <c r="A7" s="90" t="inlineStr">
        <is>
          <t>Dept Faculty</t>
        </is>
      </c>
      <c r="B7" s="90" t="inlineStr">
        <is>
          <t>Rice Jones</t>
        </is>
      </c>
      <c r="C7" s="90" t="inlineStr">
        <is>
          <t>Management</t>
        </is>
      </c>
      <c r="D7" s="90" t="n">
        <v>7</v>
      </c>
      <c r="E7" s="90" t="n">
        <v>6</v>
      </c>
      <c r="F7" s="90" t="n">
        <v>-1</v>
      </c>
      <c r="G7" s="90" t="inlineStr">
        <is>
          <t>Confirmed</t>
        </is>
      </c>
    </row>
    <row r="8" ht="15" customHeight="1" s="91">
      <c r="A8" s="90" t="inlineStr">
        <is>
          <t>Dept Faculty</t>
        </is>
      </c>
      <c r="B8" s="90" t="inlineStr">
        <is>
          <t>Rice Jones</t>
        </is>
      </c>
      <c r="C8" s="90" t="inlineStr">
        <is>
          <t>Strategic Management</t>
        </is>
      </c>
      <c r="D8" s="90" t="n">
        <v>12</v>
      </c>
      <c r="E8" s="90" t="n">
        <v>6</v>
      </c>
      <c r="F8" s="90" t="n">
        <v>-6</v>
      </c>
      <c r="G8" s="90" t="inlineStr">
        <is>
          <t>Confirmed</t>
        </is>
      </c>
    </row>
    <row r="9" ht="15" customHeight="1" s="91">
      <c r="A9" s="90" t="inlineStr">
        <is>
          <t>Dept Faculty</t>
        </is>
      </c>
      <c r="B9" s="90" t="inlineStr">
        <is>
          <t>UCLA Anderson</t>
        </is>
      </c>
      <c r="C9" s="90" t="inlineStr">
        <is>
          <t>Management &amp; Organizations</t>
        </is>
      </c>
      <c r="D9" s="90" t="n">
        <v>14</v>
      </c>
      <c r="E9" s="90" t="n">
        <v>4</v>
      </c>
      <c r="F9" s="90" t="n">
        <v>-10</v>
      </c>
      <c r="G9" s="90" t="inlineStr">
        <is>
          <t>Confirmed</t>
        </is>
      </c>
    </row>
    <row r="10" ht="15" customHeight="1" s="91">
      <c r="A10" s="90" t="inlineStr">
        <is>
          <t>Dept Faculty</t>
        </is>
      </c>
      <c r="B10" s="90" t="inlineStr">
        <is>
          <t>UW Foster</t>
        </is>
      </c>
      <c r="C10" s="90" t="inlineStr">
        <is>
          <t>Marketing &amp; International Business</t>
        </is>
      </c>
      <c r="D10" s="90" t="n">
        <v>17</v>
      </c>
      <c r="E10" s="90" t="n">
        <v>18</v>
      </c>
      <c r="F10" s="90" t="n">
        <v>1</v>
      </c>
      <c r="G10" s="90" t="inlineStr">
        <is>
          <t>Close (±1-2)</t>
        </is>
      </c>
    </row>
    <row r="11" ht="15" customHeight="1" s="91">
      <c r="A11" s="90" t="inlineStr">
        <is>
          <t>School Total</t>
        </is>
      </c>
      <c r="B11" s="90" t="inlineStr">
        <is>
          <t>Cornell Johnson</t>
        </is>
      </c>
      <c r="C11" s="90" t="inlineStr">
        <is>
          <t>(all depts)</t>
        </is>
      </c>
      <c r="D11" s="90" t="n">
        <v>145</v>
      </c>
      <c r="E11" s="90" t="n">
        <v>151</v>
      </c>
      <c r="F11" s="90" t="n">
        <v>6</v>
      </c>
    </row>
    <row r="12" ht="15" customHeight="1" s="91">
      <c r="A12" s="90" t="inlineStr">
        <is>
          <t>School Total</t>
        </is>
      </c>
      <c r="B12" s="90" t="inlineStr">
        <is>
          <t>Dartmouth Tuck</t>
        </is>
      </c>
      <c r="C12" s="90" t="inlineStr">
        <is>
          <t>(all depts)</t>
        </is>
      </c>
      <c r="D12" s="90" t="n">
        <v>55</v>
      </c>
      <c r="E12" s="90" t="n">
        <v>45</v>
      </c>
      <c r="F12" s="90" t="n">
        <v>-10</v>
      </c>
    </row>
    <row r="13" ht="15" customHeight="1" s="91">
      <c r="A13" s="90" t="inlineStr">
        <is>
          <t>School Total</t>
        </is>
      </c>
      <c r="B13" s="90" t="inlineStr">
        <is>
          <t>Duke Fuqua</t>
        </is>
      </c>
      <c r="C13" s="90" t="inlineStr">
        <is>
          <t>(all depts)</t>
        </is>
      </c>
      <c r="D13" s="90" t="n">
        <v>95</v>
      </c>
      <c r="E13" s="90" t="n">
        <v>96</v>
      </c>
      <c r="F13" s="90" t="n">
        <v>1</v>
      </c>
    </row>
    <row r="14" ht="15" customHeight="1" s="91">
      <c r="A14" s="90" t="inlineStr">
        <is>
          <t>School Total</t>
        </is>
      </c>
      <c r="B14" s="90" t="inlineStr">
        <is>
          <t>Purdue Krannert</t>
        </is>
      </c>
      <c r="C14" s="90" t="inlineStr">
        <is>
          <t>(all depts)</t>
        </is>
      </c>
      <c r="D14" s="90" t="n">
        <v>104</v>
      </c>
      <c r="E14" s="90" t="n">
        <v>103</v>
      </c>
      <c r="F14" s="90" t="n">
        <v>-1</v>
      </c>
    </row>
    <row r="15" ht="15" customHeight="1" s="91">
      <c r="A15" s="90" t="inlineStr">
        <is>
          <t>School Total</t>
        </is>
      </c>
      <c r="B15" s="90" t="inlineStr">
        <is>
          <t>Rice Jones</t>
        </is>
      </c>
      <c r="C15" s="90" t="inlineStr">
        <is>
          <t>(all depts)</t>
        </is>
      </c>
      <c r="D15" s="90" t="n">
        <v>73</v>
      </c>
      <c r="E15" s="90" t="n">
        <v>60</v>
      </c>
      <c r="F15" s="90" t="n">
        <v>-13</v>
      </c>
    </row>
    <row r="16" ht="15" customHeight="1" s="91">
      <c r="A16" s="90" t="inlineStr">
        <is>
          <t>School Total</t>
        </is>
      </c>
      <c r="B16" s="90" t="inlineStr">
        <is>
          <t>UCLA Anderson</t>
        </is>
      </c>
      <c r="C16" s="90" t="inlineStr">
        <is>
          <t>(all depts)</t>
        </is>
      </c>
      <c r="D16" s="90" t="n">
        <v>68</v>
      </c>
      <c r="E16" s="90" t="n">
        <v>60</v>
      </c>
      <c r="F16" s="90" t="n">
        <v>-8</v>
      </c>
    </row>
    <row r="17" ht="15" customHeight="1" s="91">
      <c r="A17" s="90" t="inlineStr">
        <is>
          <t>School Total</t>
        </is>
      </c>
      <c r="B17" s="90" t="inlineStr">
        <is>
          <t>UW Foster</t>
        </is>
      </c>
      <c r="C17" s="90" t="inlineStr">
        <is>
          <t>(all depts)</t>
        </is>
      </c>
      <c r="D17" s="90" t="n">
        <v>95</v>
      </c>
      <c r="E17" s="90" t="n">
        <v>74</v>
      </c>
      <c r="F17" s="90" t="n">
        <v>-21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2026-03-20T15:04:51Z</dcterms:created>
  <dcterms:modified xmlns:dcterms="http://purl.org/dc/terms/" xmlns:xsi="http://www.w3.org/2001/XMLSchema-instance" xsi:type="dcterms:W3CDTF">2026-03-25T02:22:15Z</dcterms:modified>
  <cp:revision>7</cp:revision>
</cp:coreProperties>
</file>